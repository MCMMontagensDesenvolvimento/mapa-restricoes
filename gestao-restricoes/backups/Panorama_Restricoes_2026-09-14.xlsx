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7" headerRowCount="1" totalsRowShown="0" headerRowDxfId="24" dataDxfId="23">
  <autoFilter ref="A6:Q557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7"/>
  <sheetViews>
    <sheetView tabSelected="1" zoomScale="80" zoomScaleNormal="80" workbookViewId="0">
      <selection activeCell="J9" sqref="J9"/>
    </sheetView>
  </sheetViews>
  <sheetFormatPr baseColWidth="8" defaultRowHeight="15"/>
  <cols>
    <col width="9.19921875" customWidth="1" style="53" min="1" max="1"/>
    <col width="18.296875" customWidth="1" style="53" min="2" max="2"/>
    <col width="8" customWidth="1" style="53" min="3" max="3"/>
    <col width="13.296875" customWidth="1" style="53" min="4" max="4"/>
    <col width="32" customWidth="1" style="53" min="5" max="5"/>
    <col width="34" customWidth="1" style="53" min="6" max="6"/>
    <col width="20" customWidth="1" style="53" min="7" max="7"/>
    <col width="34" customWidth="1" style="53" min="8" max="8"/>
    <col width="14.59765625" customWidth="1" style="53" min="9" max="9"/>
    <col width="9.59765625" bestFit="1" customWidth="1" style="53" min="10" max="10"/>
    <col width="15" customWidth="1" style="53" min="11" max="11"/>
    <col width="13" customWidth="1" style="53" min="12" max="12"/>
    <col width="17" customWidth="1" style="53" min="13" max="13"/>
    <col width="13" customWidth="1" style="53" min="14" max="14"/>
    <col width="12" customWidth="1" style="53" min="15" max="16"/>
    <col width="32" customWidth="1" style="53" min="17" max="17"/>
    <col width="8.796875" customWidth="1" style="53" min="18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COUNTIF(M7:M557,"Aberta")</f>
        <v/>
      </c>
      <c r="B3" s="55" t="n"/>
      <c r="C3" s="55">
        <f>COUNTIF(M7:M557,"Em Tratamento")</f>
        <v/>
      </c>
      <c r="D3" s="55" t="n"/>
      <c r="E3" s="55">
        <f>COUNTIFS(M7:M557,"&lt;&gt;Concluída",L7:L557,"&lt;"&amp;TODAY(),L7:L557,"&lt;&gt;")</f>
        <v/>
      </c>
      <c r="F3" s="55" t="n"/>
      <c r="G3" s="55">
        <f>COUNTIF(M7:M557,"Concluída")</f>
        <v/>
      </c>
      <c r="H3" s="55" t="n"/>
    </row>
    <row r="5" ht="15.6" customHeight="1">
      <c r="A5" s="60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383c636e-28d6-5069-992e-ba124cffc86a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46279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80208a70-82dd-5c03-ad8f-39e1f63aec7d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46279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26469f1a-e4ab-523c-b196-62445493cf1f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Aberta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0f1a36ea-3386-50db-9999-9c33af961c42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Aberta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d730bde6-8744-5083-865b-ac610bf8dd3f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46279</v>
      </c>
      <c r="M11" s="57" t="inlineStr">
        <is>
          <t>Aberta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1868e855-de01-56e3-9a81-a242c76ec22a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8f7c80be-496d-5c85-987b-a739c000d189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64cc64d3-a936-510b-9ef9-6cc3ab4d5653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99fc344d-d93a-511a-88bf-de2c35a87dbf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Aberta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c6a663eb-ce4d-524d-ad5e-8ad11484bab9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Aberta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0aaf40e2-0de7-5883-a930-c16c771e9129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46279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59a9be4f-993c-55be-89f2-49dea8a307a9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Aberta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bfb472d2-cbbc-50d2-9a9c-a9509b96437a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Nádia</t>
        </is>
      </c>
      <c r="J19" s="57" t="inlineStr">
        <is>
          <t>MCM</t>
        </is>
      </c>
      <c r="K19" s="58" t="n">
        <v>46277</v>
      </c>
      <c r="L19" s="58" t="n">
        <v>46279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fe0b51cd-efe5-52b2-813f-d47a9a08705f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46279</v>
      </c>
      <c r="M20" s="57" t="inlineStr">
        <is>
          <t>Aberta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07deafd4-a3b7-5125-a369-aad0b5a1d390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46279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5805601d-4408-5b9a-b7e8-507a1e4f4167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Aberta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11cf3902-fe17-5ec9-8941-5e4278a4a943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dfc4953f-340a-570c-bce0-1a404be23b22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23c5757b-2e8f-56d3-b3bd-71788ceffba6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46286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b5fde649-90bf-52b0-9bb9-ce5ba9fa91bd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0860a3a9-2542-5768-b867-eccfde864986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b7278413-37a8-590a-b40d-0ddf530c045c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inlineStr">
        <is>
          <t>531242ac-7f53-52e5-b2b7-9afd4b3452ca</t>
        </is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e6349437-0e2d-56c7-929b-c81d92bbeaf9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inlineStr">
        <is>
          <t>e18664aa-7cee-5b70-baee-e2bfaa4dbef5</t>
        </is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inlineStr">
        <is>
          <t>32d16ade-b376-5013-9af6-2d8a93efbb70</t>
        </is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inlineStr">
        <is>
          <t>5108307c-9515-5a2c-874f-5f70a21e0a5e</t>
        </is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inlineStr">
        <is>
          <t>8ec9f4b8-b7cd-5577-bcf1-c3b8926d92eb</t>
        </is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e97e5d24-2866-5964-a273-26c7a8426414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46279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inlineStr">
        <is>
          <t>1bbd6dd2-98d2-5783-af31-e5c89499ee23</t>
        </is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inlineStr">
        <is>
          <t>d3cecc4f-d5c9-5bad-8c4f-8b5fe89749c7</t>
        </is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5a9df35b-943d-5190-9722-e5af3c1611f1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aad7c970-55a2-54b7-a460-8c07b9cc16c8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inlineStr">
        <is>
          <t>bc0422f3-1b15-5aa8-b616-91b9ebaed28d</t>
        </is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0f21a2b3-2519-5dd3-802a-caa17bf20ca6</t>
        </is>
      </c>
      <c r="B41" s="57" t="inlineStr">
        <is>
          <t>PLANTA DE CAL</t>
        </is>
      </c>
      <c r="C41" s="57" t="n"/>
      <c r="D41" s="57" t="n"/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82e5a318-142c-5aa9-8f87-e2bf1db8cce4</t>
        </is>
      </c>
      <c r="B42" s="57" t="inlineStr">
        <is>
          <t>PLANTA DE CAL</t>
        </is>
      </c>
      <c r="C42" s="57" t="n"/>
      <c r="D42" s="57" t="n"/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f4316587-c486-57b3-aabd-696abec66e29</t>
        </is>
      </c>
      <c r="B43" s="57" t="inlineStr">
        <is>
          <t>PLANTA DE CAL</t>
        </is>
      </c>
      <c r="C43" s="57" t="n"/>
      <c r="D43" s="57" t="n"/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inlineStr">
        <is>
          <t>bcda13ce-24de-5608-a9ba-b91678043637</t>
        </is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3b56a0e4-e6f2-5abc-8c39-0ba2008452cc</t>
        </is>
      </c>
      <c r="B45" s="57" t="inlineStr">
        <is>
          <t>PORTARIA</t>
        </is>
      </c>
      <c r="C45" s="57" t="n"/>
      <c r="D45" s="57" t="n"/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c793fd62-58dc-5c33-a24d-de45797cbe8e</t>
        </is>
      </c>
      <c r="B46" s="57" t="inlineStr">
        <is>
          <t>PORTARIA</t>
        </is>
      </c>
      <c r="C46" s="57" t="n"/>
      <c r="D46" s="57" t="n"/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3e964693-1092-5e78-966f-eae648df469c</t>
        </is>
      </c>
      <c r="B47" s="57" t="inlineStr">
        <is>
          <t>PORTARIA</t>
        </is>
      </c>
      <c r="C47" s="57" t="n"/>
      <c r="D47" s="57" t="n"/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inlineStr">
        <is>
          <t>8dce92d4-f787-592d-812d-38a992b9536e</t>
        </is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38dba458-77af-52ba-8200-602cc3726661</t>
        </is>
      </c>
      <c r="B49" s="57" t="inlineStr">
        <is>
          <t>PLANTA DE CAL</t>
        </is>
      </c>
      <c r="C49" s="57" t="n"/>
      <c r="D49" s="57" t="n"/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76d3dde0-ca20-5550-883f-113b8ab98a65</t>
        </is>
      </c>
      <c r="B50" s="57" t="inlineStr">
        <is>
          <t>PLANTA DE CAL</t>
        </is>
      </c>
      <c r="C50" s="57" t="n"/>
      <c r="D50" s="57" t="n"/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3a84d940-080b-545b-a8ee-15226d60c7a2</t>
        </is>
      </c>
      <c r="B51" s="57" t="inlineStr">
        <is>
          <t>PLANTA DE CAL</t>
        </is>
      </c>
      <c r="C51" s="57" t="n"/>
      <c r="D51" s="57" t="n"/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inlineStr">
        <is>
          <t>c715fc4d-4c65-5379-96be-e0e8dbe165de</t>
        </is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117eda65-8145-5eaf-b65f-471febe7a8d2</t>
        </is>
      </c>
      <c r="B53" s="57" t="inlineStr">
        <is>
          <t>PORTARIA</t>
        </is>
      </c>
      <c r="C53" s="57" t="n"/>
      <c r="D53" s="57" t="n"/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11f081c8-d69b-57ac-999c-2a830ee81df5</t>
        </is>
      </c>
      <c r="B54" s="57" t="inlineStr">
        <is>
          <t>PORTARIA</t>
        </is>
      </c>
      <c r="C54" s="57" t="n"/>
      <c r="D54" s="57" t="n"/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b9f54ff5-2411-5dde-8136-2bd9ce0910db</t>
        </is>
      </c>
      <c r="B55" s="57" t="inlineStr">
        <is>
          <t>PORTARIA</t>
        </is>
      </c>
      <c r="C55" s="57" t="n"/>
      <c r="D55" s="57" t="n"/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inlineStr">
        <is>
          <t>a9a42e7c-043f-5aaa-92be-7938428b530d</t>
        </is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86a6f629-faf3-5931-9393-c539f994bcbf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6c2f3c6f-2fee-55a6-85ca-4e87c3df2a8c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0d18fc16-b7e8-566a-9190-d6081de3d359</t>
        </is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5fae9f07-9918-5c5b-8fa7-a07daae4873e</t>
        </is>
      </c>
      <c r="B60" s="57" t="inlineStr">
        <is>
          <t>ELETROCENTRO</t>
        </is>
      </c>
      <c r="C60" s="57" t="n"/>
      <c r="D60" s="57" t="n"/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d4e36afb-8e22-5ae3-87a4-572f8cbecf51</t>
        </is>
      </c>
      <c r="B61" s="57" t="inlineStr">
        <is>
          <t>ELETROCENTRO</t>
        </is>
      </c>
      <c r="C61" s="57" t="n"/>
      <c r="D61" s="57" t="n"/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46279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inlineStr">
        <is>
          <t>1f2ec8b6-d9bc-5d80-abfb-3622342d8d06</t>
        </is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24fe2d67-3c97-5a5b-8204-9e81597dcd24</t>
        </is>
      </c>
      <c r="B63" s="57" t="inlineStr">
        <is>
          <t>ELETROCENTRO</t>
        </is>
      </c>
      <c r="C63" s="57" t="n"/>
      <c r="D63" s="57" t="n"/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1161d7ce-dcc6-5c7c-a5d3-992c4771bb80</t>
        </is>
      </c>
      <c r="B64" s="57" t="inlineStr">
        <is>
          <t>ELETROCENTRO</t>
        </is>
      </c>
      <c r="C64" s="57" t="n"/>
      <c r="D64" s="57" t="n"/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4967d478-f4f8-5d6c-b367-d392e6cc3c31</t>
        </is>
      </c>
      <c r="B65" s="57" t="inlineStr">
        <is>
          <t>SUMP</t>
        </is>
      </c>
      <c r="C65" s="57" t="n"/>
      <c r="D65" s="57" t="n"/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2f3d20fe-cefa-5772-94fa-5d961ddf54fd</t>
        </is>
      </c>
      <c r="B66" s="57" t="inlineStr">
        <is>
          <t>SUMP</t>
        </is>
      </c>
      <c r="C66" s="57" t="n"/>
      <c r="D66" s="57" t="n"/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8d8fc7c8-b818-50ba-84b2-25768fedb5f6</t>
        </is>
      </c>
      <c r="B67" s="57" t="inlineStr">
        <is>
          <t>SUMP</t>
        </is>
      </c>
      <c r="C67" s="57" t="n"/>
      <c r="D67" s="57" t="n"/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d64e4db4-1b05-5f17-ace0-3c4dcc00cf87</t>
        </is>
      </c>
      <c r="B68" s="57" t="inlineStr">
        <is>
          <t>SUMP</t>
        </is>
      </c>
      <c r="C68" s="57" t="n"/>
      <c r="D68" s="57" t="n"/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5447ab10-92ea-5d87-8f62-9c437e773d1a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Aberta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b37def21-928e-5c54-af18-5cc890c2782e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db9521ee-2a04-51b3-87fd-3cea5197f113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Aberta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1d17ee01-9adc-5280-a93b-4d2903b224c8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ae7690bd-e998-5986-a4c0-630387dd436d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e41ccebc-0cfe-584f-afae-cbbde2612836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cfb3786b-dbc2-5c49-9241-d477d5f063a9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74cc08f3-6e87-58d8-a8d2-fc11f585fa39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3853d7c1-88b4-5aa4-a8d5-b8c03df398bc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558cf0e8-2253-58b6-a9e1-fb7d69f07902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6ba5a0a9-e026-509c-abe2-ae063d1144af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19c9f7d1-ea81-5064-a87e-efc6b8a84860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a259b60a-2b60-531b-9bdc-44cfa1436c03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b73a346a-d0a1-57ac-bca4-499ce4866fdd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453c0353-3e22-5dea-85c3-9f4c91dcc2de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c8480627-00f5-508d-8d29-391e993c4e31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2c240b02-01b0-5826-adae-ac25aa8357d8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bdf641e3-ccf6-5c9d-b717-676d3b48e6bc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08e6e7ae-99a5-549a-9121-26c537d53da2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073c4624-ffde-593b-bcd6-4bcc2bafa122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d95be1e3-e883-5f00-9147-bf8123d5de4c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3dd48ad9-8dbc-5246-9601-45440226407a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9ad90170-b626-5a2b-b102-32ff39f93728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0bd7a135-fd00-5e09-bd71-0e65d5743486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ea3959e0-fc49-5392-9fcd-0517b97682e9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46279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2f627bb7-256b-5530-9daf-56aa484e69f9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0c490a8c-3fb4-56df-b1fe-8bf56ed8edab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1c8165b1-0be9-5785-a885-aeeb991f18d8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46279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19a14296-df89-5686-a03d-46d8fe69bd7d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46279</v>
      </c>
      <c r="M97" s="57" t="inlineStr">
        <is>
          <t>Aberta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900575ea-fdaa-595b-84fe-3260f49d78f0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46279</v>
      </c>
      <c r="M98" s="57" t="inlineStr">
        <is>
          <t>Aberta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6280ffcf-2318-5714-be38-375feca476dc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962e69aa-139b-5b37-aa78-333a22104368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235fe6b2-04d1-51d5-a633-4c423b45c14a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14db30f4-4630-5bbf-9b1d-e3f802dbe1ca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46279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0cd32209-1d6f-5b20-bfa4-861defb6b827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Aberta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bd726baa-3b7c-5b00-8dd5-236b527a31ba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139b9ce9-21ca-5d5d-8e9a-4f583cd9b487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1cc96a55-86ee-5ff5-bc18-76b01eabcb1b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Aberta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9b57d229-cd38-50fb-a299-e7d2cced9759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inlineStr">
        <is>
          <t>140c7eff-a02b-535a-b87e-4630e88a2c24</t>
        </is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e43ed97a-5df4-59cc-8b74-4d64949fa22d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46279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669c22e4-5b6a-5f0a-8362-c539b8434cf0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46277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dedc221c-6ce2-5aa5-8dd4-0fab13417fa0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inlineStr">
        <is>
          <t>63c2a7f1-0123-5a43-a027-52be352d859c</t>
        </is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a62adcb9-7f34-58d0-bc9e-60313d831dd5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inlineStr">
        <is>
          <t>b2b12e4d-6429-526e-8113-bf099475eaaf</t>
        </is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inlineStr">
        <is>
          <t>ba3b8e84-8b82-5c55-b666-5d74d9e2c84b</t>
        </is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inlineStr">
        <is>
          <t>c21dd1c8-ec75-5155-8adf-2bbca1fce8f4</t>
        </is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inlineStr">
        <is>
          <t>c15082c2-af21-5e55-a1d0-f0d75a55a97c</t>
        </is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inlineStr">
        <is>
          <t>9dd88d31-f892-5926-ab9c-07fac0752ad3</t>
        </is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inlineStr">
        <is>
          <t>5217feb6-d9a4-5b92-9d88-2632ee6f0bc2</t>
        </is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e2feef67-80bb-56ac-a557-6d68e034a899</t>
        </is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Montagem de Infraestrura de Instrumentos</t>
        </is>
      </c>
      <c r="F120" s="57" t="n"/>
      <c r="G120" s="57" t="n"/>
      <c r="H120" s="57" t="n"/>
      <c r="I120" s="57" t="n"/>
      <c r="J120" s="57" t="n"/>
      <c r="K120" s="58" t="n"/>
      <c r="L120" s="58" t="n"/>
      <c r="M120" s="57" t="n"/>
      <c r="N120" s="57" t="n"/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2f4f3687-c9a1-563e-95a2-b2e9abe6f122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Plano de corte</t>
        </is>
      </c>
      <c r="G121" s="57" t="inlineStr">
        <is>
          <t>Projeto / Engenharia</t>
        </is>
      </c>
      <c r="H121" s="57" t="inlineStr">
        <is>
          <t>Verificar/solicitar plano de corte à Engenharia Nexa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46286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inlineStr">
        <is>
          <t>2cc02adf-64cb-53ac-912f-f21bd873f16a</t>
        </is>
      </c>
      <c r="B122" s="57" t="inlineStr">
        <is>
          <t>PLANTA DE CAL</t>
        </is>
      </c>
      <c r="C122" s="57" t="n"/>
      <c r="D122" s="57" t="inlineStr">
        <is>
          <t>INSTRUMENTAÇÃO</t>
        </is>
      </c>
      <c r="E122" s="57" t="inlineStr">
        <is>
          <t>Lançamento de cabos de Instrumentos</t>
        </is>
      </c>
      <c r="F122" s="57" t="inlineStr">
        <is>
          <t>Material (cabos)</t>
        </is>
      </c>
      <c r="G122" s="57" t="inlineStr">
        <is>
          <t>Materiais</t>
        </is>
      </c>
      <c r="H122" s="57" t="inlineStr">
        <is>
          <t>Verificar fornecimento</t>
        </is>
      </c>
      <c r="I122" s="57" t="inlineStr">
        <is>
          <t>Jean</t>
        </is>
      </c>
      <c r="J122" s="57" t="inlineStr">
        <is>
          <t>MCM</t>
        </is>
      </c>
      <c r="K122" s="58" t="n">
        <v>46277</v>
      </c>
      <c r="L122" s="58" t="n">
        <v>46279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inlineStr">
        <is>
          <t>231590e7-de01-5d86-98a4-053fc658dd3e</t>
        </is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Material aplicado (eletrodutos, conduletes, suportes, etc)</t>
        </is>
      </c>
      <c r="G123" s="57" t="inlineStr">
        <is>
          <t>Suprimentos</t>
        </is>
      </c>
      <c r="H123" s="57" t="inlineStr">
        <is>
          <t>Garantir que o material chegue na data necessária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>
      <c r="A124" s="57" t="inlineStr">
        <is>
          <t>0c1177bb-87a9-5400-8ec7-56cf0a826b5e</t>
        </is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Aterramento</t>
        </is>
      </c>
      <c r="G124" s="57" t="inlineStr">
        <is>
          <t>Suprimentos</t>
        </is>
      </c>
      <c r="H124" s="57" t="inlineStr">
        <is>
          <t>Material (Cabo de cobre nu)</t>
        </is>
      </c>
      <c r="I124" s="57" t="inlineStr">
        <is>
          <t>Rubens</t>
        </is>
      </c>
      <c r="J124" s="57" t="inlineStr">
        <is>
          <t>MCM</t>
        </is>
      </c>
      <c r="K124" s="58" t="n">
        <v>46277</v>
      </c>
      <c r="L124" s="58" t="n">
        <v>46295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bcb2fc2b-83c8-5228-b882-968c8804edd4</t>
        </is>
      </c>
      <c r="B125" s="57" t="inlineStr">
        <is>
          <t>ELETROCENTRO</t>
        </is>
      </c>
      <c r="C125" s="57" t="n"/>
      <c r="D125" s="57" t="inlineStr">
        <is>
          <t>ELÉTRICA</t>
        </is>
      </c>
      <c r="E125" s="57" t="inlineStr">
        <is>
          <t>Radiê do Eletrocentro</t>
        </is>
      </c>
      <c r="F125" s="57" t="inlineStr">
        <is>
          <t>Projetos</t>
        </is>
      </c>
      <c r="G125" s="57" t="inlineStr">
        <is>
          <t>Projeto / Engenharia</t>
        </is>
      </c>
      <c r="H125" s="57" t="inlineStr">
        <is>
          <t>Verificar projeto de aterramento do Eletrocentro</t>
        </is>
      </c>
      <c r="I125" s="57" t="inlineStr">
        <is>
          <t>Jean</t>
        </is>
      </c>
      <c r="J125" s="57" t="inlineStr">
        <is>
          <t>MCM</t>
        </is>
      </c>
      <c r="K125" s="58" t="n">
        <v>46277</v>
      </c>
      <c r="L125" s="58" t="n">
        <v>46286</v>
      </c>
      <c r="M125" s="57" t="inlineStr">
        <is>
          <t>Aberta</t>
        </is>
      </c>
      <c r="N125" s="57" t="inlineStr">
        <is>
          <t>Média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b2747313-1d99-5301-b50d-59849d62eb0a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Montagem de andaimes</t>
        </is>
      </c>
      <c r="G126" s="57" t="inlineStr">
        <is>
          <t>Mão de Obra</t>
        </is>
      </c>
      <c r="H126" s="57" t="inlineStr">
        <is>
          <t>Abrir RMO para 06 Montadores de andaimes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0e9f2d1b-5fd2-5690-954b-8392c0f93064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Limpeza do Galpão</t>
        </is>
      </c>
      <c r="G127" s="57" t="inlineStr">
        <is>
          <t>Mão de Obra</t>
        </is>
      </c>
      <c r="H127" s="57" t="inlineStr">
        <is>
          <t>Abrir RMO para 01 auxiliar de serviços gerais</t>
        </is>
      </c>
      <c r="I127" s="57" t="inlineStr">
        <is>
          <t>Gustavo</t>
        </is>
      </c>
      <c r="J127" s="57" t="inlineStr">
        <is>
          <t>MCM</t>
        </is>
      </c>
      <c r="K127" s="58" t="n">
        <v>46277</v>
      </c>
      <c r="L127" s="58" t="n">
        <v>46279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ed3b0895-84c1-5fa6-9a2e-44ee8b71ca9e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Martelete + brocas suficientes para chumbadores</t>
        </is>
      </c>
      <c r="G128" s="57" t="inlineStr">
        <is>
          <t>Materiais</t>
        </is>
      </c>
      <c r="H128" s="57" t="inlineStr">
        <is>
          <t>Levantamento de martelete e brocas para fixação de chumbadores (total)</t>
        </is>
      </c>
      <c r="I128" s="57" t="inlineStr">
        <is>
          <t>Sidney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ee2c5b4e-7afd-5f3b-a3b1-c7ebee3950e1</t>
        </is>
      </c>
      <c r="B129" s="57" t="inlineStr">
        <is>
          <t>GERAL</t>
        </is>
      </c>
      <c r="C129" s="57" t="n"/>
      <c r="D129" s="57" t="inlineStr">
        <is>
          <t>GERAL</t>
        </is>
      </c>
      <c r="E129" s="57" t="inlineStr">
        <is>
          <t>Geral</t>
        </is>
      </c>
      <c r="F129" s="57" t="inlineStr">
        <is>
          <t>Contratação PTA</t>
        </is>
      </c>
      <c r="G129" s="57" t="inlineStr">
        <is>
          <t>Segurança / SMS</t>
        </is>
      </c>
      <c r="H129" s="57" t="inlineStr">
        <is>
          <t>Verificar os treinamentos necessários para operação de PTA</t>
        </is>
      </c>
      <c r="I129" s="57" t="inlineStr">
        <is>
          <t>Nadia</t>
        </is>
      </c>
      <c r="J129" s="57" t="inlineStr">
        <is>
          <t>MCM</t>
        </is>
      </c>
      <c r="K129" s="58" t="n">
        <v>46277</v>
      </c>
      <c r="L129" s="58" t="n">
        <v>46281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Impedimento das atividades</t>
        </is>
      </c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  <c r="K130" s="58" t="n"/>
      <c r="L130" s="58" t="n"/>
      <c r="M130" s="57" t="n"/>
      <c r="N130" s="57" t="n"/>
      <c r="O130" s="57">
        <f>IF(K130="","",IF(M130="Concluída","",TODAY()-K130))</f>
        <v/>
      </c>
      <c r="P130" s="57">
        <f>IF(L130="","",L130-TODAY())</f>
        <v/>
      </c>
      <c r="Q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8" t="n"/>
      <c r="L131" s="58" t="n"/>
      <c r="M131" s="57" t="n"/>
      <c r="N131" s="57" t="n"/>
      <c r="O131" s="57">
        <f>IF(K131="","",IF(M131="Concluída","",TODAY()-K131))</f>
        <v/>
      </c>
      <c r="P131" s="57">
        <f>IF(L131="","",L131-TODAY())</f>
        <v/>
      </c>
      <c r="Q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8" t="n"/>
      <c r="L132" s="58" t="n"/>
      <c r="M132" s="57" t="n"/>
      <c r="N132" s="57" t="n"/>
      <c r="O132" s="57">
        <f>IF(K132="","",IF(M132="Concluída","",TODAY()-K132))</f>
        <v/>
      </c>
      <c r="P132" s="57">
        <f>IF(L132="","",L132-TODAY())</f>
        <v/>
      </c>
      <c r="Q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8" t="n"/>
      <c r="L133" s="58" t="n"/>
      <c r="M133" s="57" t="n"/>
      <c r="N133" s="57" t="n"/>
      <c r="O133" s="57">
        <f>IF(K133="","",IF(M133="Concluída","",TODAY()-K133))</f>
        <v/>
      </c>
      <c r="P133" s="57">
        <f>IF(L133="","",L133-TODAY())</f>
        <v/>
      </c>
      <c r="Q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8" t="n"/>
      <c r="L134" s="58" t="n"/>
      <c r="M134" s="57" t="n"/>
      <c r="N134" s="57" t="n"/>
      <c r="O134" s="57">
        <f>IF(K134="","",IF(M134="Concluída","",TODAY()-K134))</f>
        <v/>
      </c>
      <c r="P134" s="57">
        <f>IF(L134="","",L134-TODAY())</f>
        <v/>
      </c>
      <c r="Q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8" t="n"/>
      <c r="L135" s="58" t="n"/>
      <c r="M135" s="57" t="n"/>
      <c r="N135" s="57" t="n"/>
      <c r="O135" s="57">
        <f>IF(K135="","",IF(M135="Concluída","",TODAY()-K135))</f>
        <v/>
      </c>
      <c r="P135" s="57">
        <f>IF(L135="","",L135-TODAY())</f>
        <v/>
      </c>
      <c r="Q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8" t="n"/>
      <c r="L136" s="58" t="n"/>
      <c r="M136" s="57" t="n"/>
      <c r="N136" s="57" t="n"/>
      <c r="O136" s="57">
        <f>IF(K136="","",IF(M136="Concluída","",TODAY()-K136))</f>
        <v/>
      </c>
      <c r="P136" s="57">
        <f>IF(L136="","",L136-TODAY())</f>
        <v/>
      </c>
      <c r="Q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8" t="n"/>
      <c r="L137" s="58" t="n"/>
      <c r="M137" s="57" t="n"/>
      <c r="N137" s="57" t="n"/>
      <c r="O137" s="57">
        <f>IF(K137="","",IF(M137="Concluída","",TODAY()-K137))</f>
        <v/>
      </c>
      <c r="P137" s="57">
        <f>IF(L137="","",L137-TODAY())</f>
        <v/>
      </c>
      <c r="Q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8" t="n"/>
      <c r="L138" s="58" t="n"/>
      <c r="M138" s="57" t="n"/>
      <c r="N138" s="57" t="n"/>
      <c r="O138" s="57">
        <f>IF(K138="","",IF(M138="Concluída","",TODAY()-K138))</f>
        <v/>
      </c>
      <c r="P138" s="57">
        <f>IF(L138="","",L138-TODAY())</f>
        <v/>
      </c>
      <c r="Q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8" t="n"/>
      <c r="L139" s="58" t="n"/>
      <c r="M139" s="57" t="n"/>
      <c r="N139" s="57" t="n"/>
      <c r="O139" s="57">
        <f>IF(K139="","",IF(M139="Concluída","",TODAY()-K139))</f>
        <v/>
      </c>
      <c r="P139" s="57">
        <f>IF(L139="","",L139-TODAY())</f>
        <v/>
      </c>
      <c r="Q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8" t="n"/>
      <c r="L140" s="58" t="n"/>
      <c r="M140" s="57" t="n"/>
      <c r="N140" s="57" t="n"/>
      <c r="O140" s="57">
        <f>IF(K140="","",IF(M140="Concluída","",TODAY()-K140))</f>
        <v/>
      </c>
      <c r="P140" s="57">
        <f>IF(L140="","",L140-TODAY())</f>
        <v/>
      </c>
      <c r="Q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IF(K141="","",IF(M141="Concluída","",TODAY()-K141))</f>
        <v/>
      </c>
      <c r="P141" s="57">
        <f>IF(L141="","",L141-TODAY())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IF(K142="","",IF(M142="Concluída","",TODAY()-K142))</f>
        <v/>
      </c>
      <c r="P142" s="57">
        <f>IF(L142="","",L142-TODAY())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IF(K143="","",IF(M143="Concluída","",TODAY()-K143))</f>
        <v/>
      </c>
      <c r="P143" s="57">
        <f>IF(L143="","",L143-TODAY())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IF(K144="","",IF(M144="Concluída","",TODAY()-K144))</f>
        <v/>
      </c>
      <c r="P144" s="57">
        <f>IF(L144="","",L144-TODAY())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IF(K145="","",IF(M145="Concluída","",TODAY()-K145))</f>
        <v/>
      </c>
      <c r="P145" s="57">
        <f>IF(L145="","",L145-TODAY())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IF(K146="","",IF(M146="Concluída","",TODAY()-K146))</f>
        <v/>
      </c>
      <c r="P146" s="57">
        <f>IF(L146="","",L146-TODAY())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IF(K147="","",IF(M147="Concluída","",TODAY()-K147))</f>
        <v/>
      </c>
      <c r="P147" s="57">
        <f>IF(L147="","",L147-TODAY())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IF(K148="","",IF(M148="Concluída","",TODAY()-K148))</f>
        <v/>
      </c>
      <c r="P148" s="57">
        <f>IF(L148="","",L148-TODAY())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IF(K149="","",IF(M149="Concluída","",TODAY()-K149))</f>
        <v/>
      </c>
      <c r="P149" s="57">
        <f>IF(L149="","",L149-TODAY())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IF(K150="","",IF(M150="Concluída","",TODAY()-K150))</f>
        <v/>
      </c>
      <c r="P150" s="57">
        <f>IF(L150="","",L150-TODAY())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IF(K151="","",IF(M151="Concluída","",TODAY()-K151))</f>
        <v/>
      </c>
      <c r="P151" s="57">
        <f>IF(L151="","",L151-TODAY())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IF(K152="","",IF(M152="Concluída","",TODAY()-K152))</f>
        <v/>
      </c>
      <c r="P152" s="57">
        <f>IF(L152="","",L152-TODAY())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IF(K153="","",IF(M153="Concluída","",TODAY()-K153))</f>
        <v/>
      </c>
      <c r="P153" s="57">
        <f>IF(L153="","",L153-TODAY())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IF(K154="","",IF(M154="Concluída","",TODAY()-K154))</f>
        <v/>
      </c>
      <c r="P154" s="57">
        <f>IF(L154="","",L154-TODAY())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IF(K155="","",IF(M155="Concluída","",TODAY()-K155))</f>
        <v/>
      </c>
      <c r="P155" s="57">
        <f>IF(L155="","",L155-TODAY())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IF(K156="","",IF(M156="Concluída","",TODAY()-K156))</f>
        <v/>
      </c>
      <c r="P156" s="57">
        <f>IF(L156="","",L156-TODAY())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IF(K157="","",IF(M157="Concluída","",TODAY()-K157))</f>
        <v/>
      </c>
      <c r="P157" s="57">
        <f>IF(L157="","",L157-TODAY())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IF(K158="","",IF(M158="Concluída","",TODAY()-K158))</f>
        <v/>
      </c>
      <c r="P158" s="57">
        <f>IF(L158="","",L158-TODAY())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IF(K159="","",IF(M159="Concluída","",TODAY()-K159))</f>
        <v/>
      </c>
      <c r="P159" s="57">
        <f>IF(L159="","",L159-TODAY())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IF(K160="","",IF(M160="Concluída","",TODAY()-K160))</f>
        <v/>
      </c>
      <c r="P160" s="57">
        <f>IF(L160="","",L160-TODAY())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IF(K161="","",IF(M161="Concluída","",TODAY()-K161))</f>
        <v/>
      </c>
      <c r="P161" s="57">
        <f>IF(L161="","",L161-TODAY())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IF(K162="","",IF(M162="Concluída","",TODAY()-K162))</f>
        <v/>
      </c>
      <c r="P162" s="57">
        <f>IF(L162="","",L162-TODAY())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IF(K163="","",IF(M163="Concluída","",TODAY()-K163))</f>
        <v/>
      </c>
      <c r="P163" s="57">
        <f>IF(L163="","",L163-TODAY())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IF(K164="","",IF(M164="Concluída","",TODAY()-K164))</f>
        <v/>
      </c>
      <c r="P164" s="57">
        <f>IF(L164="","",L164-TODAY())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IF(K165="","",IF(M165="Concluída","",TODAY()-K165))</f>
        <v/>
      </c>
      <c r="P165" s="57">
        <f>IF(L165="","",L165-TODAY())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IF(K166="","",IF(M166="Concluída","",TODAY()-K166))</f>
        <v/>
      </c>
      <c r="P166" s="57">
        <f>IF(L166="","",L166-TODAY())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IF(K167="","",IF(M167="Concluída","",TODAY()-K167))</f>
        <v/>
      </c>
      <c r="P167" s="57">
        <f>IF(L167="","",L167-TODAY())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IF(K168="","",IF(M168="Concluída","",TODAY()-K168))</f>
        <v/>
      </c>
      <c r="P168" s="57">
        <f>IF(L168="","",L168-TODAY())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IF(K169="","",IF(M169="Concluída","",TODAY()-K169))</f>
        <v/>
      </c>
      <c r="P169" s="57">
        <f>IF(L169="","",L169-TODAY())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IF(K170="","",IF(M170="Concluída","",TODAY()-K170))</f>
        <v/>
      </c>
      <c r="P170" s="57">
        <f>IF(L170="","",L170-TODAY())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IF(K171="","",IF(M171="Concluída","",TODAY()-K171))</f>
        <v/>
      </c>
      <c r="P171" s="57">
        <f>IF(L171="","",L171-TODAY())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IF(K172="","",IF(M172="Concluída","",TODAY()-K172))</f>
        <v/>
      </c>
      <c r="P172" s="57">
        <f>IF(L172="","",L172-TODAY())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IF(K173="","",IF(M173="Concluída","",TODAY()-K173))</f>
        <v/>
      </c>
      <c r="P173" s="57">
        <f>IF(L173="","",L173-TODAY())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IF(K174="","",IF(M174="Concluída","",TODAY()-K174))</f>
        <v/>
      </c>
      <c r="P174" s="57">
        <f>IF(L174="","",L174-TODAY())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IF(K175="","",IF(M175="Concluída","",TODAY()-K175))</f>
        <v/>
      </c>
      <c r="P175" s="57">
        <f>IF(L175="","",L175-TODAY())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IF(K176="","",IF(M176="Concluída","",TODAY()-K176))</f>
        <v/>
      </c>
      <c r="P176" s="57">
        <f>IF(L176="","",L176-TODAY())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IF(K177="","",IF(M177="Concluída","",TODAY()-K177))</f>
        <v/>
      </c>
      <c r="P177" s="57">
        <f>IF(L177="","",L177-TODAY())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IF(K178="","",IF(M178="Concluída","",TODAY()-K178))</f>
        <v/>
      </c>
      <c r="P178" s="57">
        <f>IF(L178="","",L178-TODAY())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IF(K179="","",IF(M179="Concluída","",TODAY()-K179))</f>
        <v/>
      </c>
      <c r="P179" s="57">
        <f>IF(L179="","",L179-TODAY())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IF(K180="","",IF(M180="Concluída","",TODAY()-K180))</f>
        <v/>
      </c>
      <c r="P180" s="57">
        <f>IF(L180="","",L180-TODAY())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IF(K181="","",IF(M181="Concluída","",TODAY()-K181))</f>
        <v/>
      </c>
      <c r="P181" s="57">
        <f>IF(L181="","",L181-TODAY())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IF(K182="","",IF(M182="Concluída","",TODAY()-K182))</f>
        <v/>
      </c>
      <c r="P182" s="57">
        <f>IF(L182="","",L182-TODAY())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IF(K183="","",IF(M183="Concluída","",TODAY()-K183))</f>
        <v/>
      </c>
      <c r="P183" s="57">
        <f>IF(L183="","",L183-TODAY())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IF(K184="","",IF(M184="Concluída","",TODAY()-K184))</f>
        <v/>
      </c>
      <c r="P184" s="57">
        <f>IF(L184="","",L184-TODAY())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IF(K185="","",IF(M185="Concluída","",TODAY()-K185))</f>
        <v/>
      </c>
      <c r="P185" s="57">
        <f>IF(L185="","",L185-TODAY())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IF(K186="","",IF(M186="Concluída","",TODAY()-K186))</f>
        <v/>
      </c>
      <c r="P186" s="57">
        <f>IF(L186="","",L186-TODAY())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IF(K187="","",IF(M187="Concluída","",TODAY()-K187))</f>
        <v/>
      </c>
      <c r="P187" s="57">
        <f>IF(L187="","",L187-TODAY())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IF(K188="","",IF(M188="Concluída","",TODAY()-K188))</f>
        <v/>
      </c>
      <c r="P188" s="57">
        <f>IF(L188="","",L188-TODAY())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IF(K189="","",IF(M189="Concluída","",TODAY()-K189))</f>
        <v/>
      </c>
      <c r="P189" s="57">
        <f>IF(L189="","",L189-TODAY())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IF(K190="","",IF(M190="Concluída","",TODAY()-K190))</f>
        <v/>
      </c>
      <c r="P190" s="57">
        <f>IF(L190="","",L190-TODAY())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IF(K191="","",IF(M191="Concluída","",TODAY()-K191))</f>
        <v/>
      </c>
      <c r="P191" s="57">
        <f>IF(L191="","",L191-TODAY())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IF(K192="","",IF(M192="Concluída","",TODAY()-K192))</f>
        <v/>
      </c>
      <c r="P192" s="57">
        <f>IF(L192="","",L192-TODAY())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IF(K193="","",IF(M193="Concluída","",TODAY()-K193))</f>
        <v/>
      </c>
      <c r="P193" s="57">
        <f>IF(L193="","",L193-TODAY())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IF(K194="","",IF(M194="Concluída","",TODAY()-K194))</f>
        <v/>
      </c>
      <c r="P194" s="57">
        <f>IF(L194="","",L194-TODAY())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IF(K195="","",IF(M195="Concluída","",TODAY()-K195))</f>
        <v/>
      </c>
      <c r="P195" s="57">
        <f>IF(L195="","",L195-TODAY())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IF(K196="","",IF(M196="Concluída","",TODAY()-K196))</f>
        <v/>
      </c>
      <c r="P196" s="57">
        <f>IF(L196="","",L196-TODAY())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IF(K197="","",IF(M197="Concluída","",TODAY()-K197))</f>
        <v/>
      </c>
      <c r="P197" s="57">
        <f>IF(L197="","",L197-TODAY())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IF(K198="","",IF(M198="Concluída","",TODAY()-K198))</f>
        <v/>
      </c>
      <c r="P198" s="57">
        <f>IF(L198="","",L198-TODAY())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IF(K199="","",IF(M199="Concluída","",TODAY()-K199))</f>
        <v/>
      </c>
      <c r="P199" s="57">
        <f>IF(L199="","",L199-TODAY())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IF(K200="","",IF(M200="Concluída","",TODAY()-K200))</f>
        <v/>
      </c>
      <c r="P200" s="57">
        <f>IF(L200="","",L200-TODAY())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IF(K201="","",IF(M201="Concluída","",TODAY()-K201))</f>
        <v/>
      </c>
      <c r="P201" s="57">
        <f>IF(L201="","",L201-TODAY())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IF(K202="","",IF(M202="Concluída","",TODAY()-K202))</f>
        <v/>
      </c>
      <c r="P202" s="57">
        <f>IF(L202="","",L202-TODAY())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IF(K203="","",IF(M203="Concluída","",TODAY()-K203))</f>
        <v/>
      </c>
      <c r="P203" s="57">
        <f>IF(L203="","",L203-TODAY())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IF(K204="","",IF(M204="Concluída","",TODAY()-K204))</f>
        <v/>
      </c>
      <c r="P204" s="57">
        <f>IF(L204="","",L204-TODAY())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IF(K205="","",IF(M205="Concluída","",TODAY()-K205))</f>
        <v/>
      </c>
      <c r="P205" s="57">
        <f>IF(L205="","",L205-TODAY())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IF(K206="","",IF(M206="Concluída","",TODAY()-K206))</f>
        <v/>
      </c>
      <c r="P206" s="57">
        <f>IF(L206="","",L206-TODAY())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IF(K207="","",IF(M207="Concluída","",TODAY()-K207))</f>
        <v/>
      </c>
      <c r="P207" s="57">
        <f>IF(L207="","",L207-TODAY())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IF(K208="","",IF(M208="Concluída","",TODAY()-K208))</f>
        <v/>
      </c>
      <c r="P208" s="57">
        <f>IF(L208="","",L208-TODAY())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IF(K209="","",IF(M209="Concluída","",TODAY()-K209))</f>
        <v/>
      </c>
      <c r="P209" s="57">
        <f>IF(L209="","",L209-TODAY())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IF(K210="","",IF(M210="Concluída","",TODAY()-K210))</f>
        <v/>
      </c>
      <c r="P210" s="57">
        <f>IF(L210="","",L210-TODAY())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IF(K211="","",IF(M211="Concluída","",TODAY()-K211))</f>
        <v/>
      </c>
      <c r="P211" s="57">
        <f>IF(L211="","",L211-TODAY())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IF(K212="","",IF(M212="Concluída","",TODAY()-K212))</f>
        <v/>
      </c>
      <c r="P212" s="57">
        <f>IF(L212="","",L212-TODAY())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IF(K213="","",IF(M213="Concluída","",TODAY()-K213))</f>
        <v/>
      </c>
      <c r="P213" s="57">
        <f>IF(L213="","",L213-TODAY())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IF(K214="","",IF(M214="Concluída","",TODAY()-K214))</f>
        <v/>
      </c>
      <c r="P214" s="57">
        <f>IF(L214="","",L214-TODAY())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IF(K215="","",IF(M215="Concluída","",TODAY()-K215))</f>
        <v/>
      </c>
      <c r="P215" s="57">
        <f>IF(L215="","",L215-TODAY())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IF(K216="","",IF(M216="Concluída","",TODAY()-K216))</f>
        <v/>
      </c>
      <c r="P216" s="57">
        <f>IF(L216="","",L216-TODAY())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IF(K217="","",IF(M217="Concluída","",TODAY()-K217))</f>
        <v/>
      </c>
      <c r="P217" s="57">
        <f>IF(L217="","",L217-TODAY())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IF(K218="","",IF(M218="Concluída","",TODAY()-K218))</f>
        <v/>
      </c>
      <c r="P218" s="57">
        <f>IF(L218="","",L218-TODAY())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IF(K219="","",IF(M219="Concluída","",TODAY()-K219))</f>
        <v/>
      </c>
      <c r="P219" s="57">
        <f>IF(L219="","",L219-TODAY())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IF(K220="","",IF(M220="Concluída","",TODAY()-K220))</f>
        <v/>
      </c>
      <c r="P220" s="57">
        <f>IF(L220="","",L220-TODAY())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IF(K221="","",IF(M221="Concluída","",TODAY()-K221))</f>
        <v/>
      </c>
      <c r="P221" s="57">
        <f>IF(L221="","",L221-TODAY())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IF(K222="","",IF(M222="Concluída","",TODAY()-K222))</f>
        <v/>
      </c>
      <c r="P222" s="57">
        <f>IF(L222="","",L222-TODAY())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IF(K223="","",IF(M223="Concluída","",TODAY()-K223))</f>
        <v/>
      </c>
      <c r="P223" s="57">
        <f>IF(L223="","",L223-TODAY())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IF(K224="","",IF(M224="Concluída","",TODAY()-K224))</f>
        <v/>
      </c>
      <c r="P224" s="57">
        <f>IF(L224="","",L224-TODAY())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IF(K225="","",IF(M225="Concluída","",TODAY()-K225))</f>
        <v/>
      </c>
      <c r="P225" s="57">
        <f>IF(L225="","",L225-TODAY())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IF(K226="","",IF(M226="Concluída","",TODAY()-K226))</f>
        <v/>
      </c>
      <c r="P226" s="57">
        <f>IF(L226="","",L226-TODAY())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IF(K227="","",IF(M227="Concluída","",TODAY()-K227))</f>
        <v/>
      </c>
      <c r="P227" s="57">
        <f>IF(L227="","",L227-TODAY())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IF(K228="","",IF(M228="Concluída","",TODAY()-K228))</f>
        <v/>
      </c>
      <c r="P228" s="57">
        <f>IF(L228="","",L228-TODAY())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IF(K229="","",IF(M229="Concluída","",TODAY()-K229))</f>
        <v/>
      </c>
      <c r="P229" s="57">
        <f>IF(L229="","",L229-TODAY())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IF(K230="","",IF(M230="Concluída","",TODAY()-K230))</f>
        <v/>
      </c>
      <c r="P230" s="57">
        <f>IF(L230="","",L230-TODAY())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IF(K231="","",IF(M231="Concluída","",TODAY()-K231))</f>
        <v/>
      </c>
      <c r="P231" s="57">
        <f>IF(L231="","",L231-TODAY())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IF(K232="","",IF(M232="Concluída","",TODAY()-K232))</f>
        <v/>
      </c>
      <c r="P232" s="57">
        <f>IF(L232="","",L232-TODAY())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IF(K233="","",IF(M233="Concluída","",TODAY()-K233))</f>
        <v/>
      </c>
      <c r="P233" s="57">
        <f>IF(L233="","",L233-TODAY())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IF(K234="","",IF(M234="Concluída","",TODAY()-K234))</f>
        <v/>
      </c>
      <c r="P234" s="57">
        <f>IF(L234="","",L234-TODAY())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IF(K235="","",IF(M235="Concluída","",TODAY()-K235))</f>
        <v/>
      </c>
      <c r="P235" s="57">
        <f>IF(L235="","",L235-TODAY())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IF(K236="","",IF(M236="Concluída","",TODAY()-K236))</f>
        <v/>
      </c>
      <c r="P236" s="57">
        <f>IF(L236="","",L236-TODAY())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IF(K237="","",IF(M237="Concluída","",TODAY()-K237))</f>
        <v/>
      </c>
      <c r="P237" s="57">
        <f>IF(L237="","",L237-TODAY())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IF(K238="","",IF(M238="Concluída","",TODAY()-K238))</f>
        <v/>
      </c>
      <c r="P238" s="57">
        <f>IF(L238="","",L238-TODAY())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IF(K239="","",IF(M239="Concluída","",TODAY()-K239))</f>
        <v/>
      </c>
      <c r="P239" s="57">
        <f>IF(L239="","",L239-TODAY())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IF(K240="","",IF(M240="Concluída","",TODAY()-K240))</f>
        <v/>
      </c>
      <c r="P240" s="57">
        <f>IF(L240="","",L240-TODAY())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IF(K241="","",IF(M241="Concluída","",TODAY()-K241))</f>
        <v/>
      </c>
      <c r="P241" s="57">
        <f>IF(L241="","",L241-TODAY())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IF(K242="","",IF(M242="Concluída","",TODAY()-K242))</f>
        <v/>
      </c>
      <c r="P242" s="57">
        <f>IF(L242="","",L242-TODAY())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IF(K243="","",IF(M243="Concluída","",TODAY()-K243))</f>
        <v/>
      </c>
      <c r="P243" s="57">
        <f>IF(L243="","",L243-TODAY())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IF(K244="","",IF(M244="Concluída","",TODAY()-K244))</f>
        <v/>
      </c>
      <c r="P244" s="57">
        <f>IF(L244="","",L244-TODAY())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IF(K245="","",IF(M245="Concluída","",TODAY()-K245))</f>
        <v/>
      </c>
      <c r="P245" s="57">
        <f>IF(L245="","",L245-TODAY())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IF(K246="","",IF(M246="Concluída","",TODAY()-K246))</f>
        <v/>
      </c>
      <c r="P246" s="57">
        <f>IF(L246="","",L246-TODAY())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IF(K247="","",IF(M247="Concluída","",TODAY()-K247))</f>
        <v/>
      </c>
      <c r="P247" s="57">
        <f>IF(L247="","",L247-TODAY())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IF(K248="","",IF(M248="Concluída","",TODAY()-K248))</f>
        <v/>
      </c>
      <c r="P248" s="57">
        <f>IF(L248="","",L248-TODAY())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IF(K249="","",IF(M249="Concluída","",TODAY()-K249))</f>
        <v/>
      </c>
      <c r="P249" s="57">
        <f>IF(L249="","",L249-TODAY())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IF(K250="","",IF(M250="Concluída","",TODAY()-K250))</f>
        <v/>
      </c>
      <c r="P250" s="57">
        <f>IF(L250="","",L250-TODAY())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IF(K251="","",IF(M251="Concluída","",TODAY()-K251))</f>
        <v/>
      </c>
      <c r="P251" s="57">
        <f>IF(L251="","",L251-TODAY())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IF(K252="","",IF(M252="Concluída","",TODAY()-K252))</f>
        <v/>
      </c>
      <c r="P252" s="57">
        <f>IF(L252="","",L252-TODAY())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IF(K253="","",IF(M253="Concluída","",TODAY()-K253))</f>
        <v/>
      </c>
      <c r="P253" s="57">
        <f>IF(L253="","",L253-TODAY())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IF(K254="","",IF(M254="Concluída","",TODAY()-K254))</f>
        <v/>
      </c>
      <c r="P254" s="57">
        <f>IF(L254="","",L254-TODAY())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IF(K255="","",IF(M255="Concluída","",TODAY()-K255))</f>
        <v/>
      </c>
      <c r="P255" s="57">
        <f>IF(L255="","",L255-TODAY())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IF(K256="","",IF(M256="Concluída","",TODAY()-K256))</f>
        <v/>
      </c>
      <c r="P256" s="57">
        <f>IF(L256="","",L256-TODAY())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IF(K257="","",IF(M257="Concluída","",TODAY()-K257))</f>
        <v/>
      </c>
      <c r="P257" s="57">
        <f>IF(L257="","",L257-TODAY())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IF(K258="","",IF(M258="Concluída","",TODAY()-K258))</f>
        <v/>
      </c>
      <c r="P258" s="57">
        <f>IF(L258="","",L258-TODAY())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IF(K259="","",IF(M259="Concluída","",TODAY()-K259))</f>
        <v/>
      </c>
      <c r="P259" s="57">
        <f>IF(L259="","",L259-TODAY())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IF(K260="","",IF(M260="Concluída","",TODAY()-K260))</f>
        <v/>
      </c>
      <c r="P260" s="57">
        <f>IF(L260="","",L260-TODAY())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IF(K261="","",IF(M261="Concluída","",TODAY()-K261))</f>
        <v/>
      </c>
      <c r="P261" s="57">
        <f>IF(L261="","",L261-TODAY())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IF(K262="","",IF(M262="Concluída","",TODAY()-K262))</f>
        <v/>
      </c>
      <c r="P262" s="57">
        <f>IF(L262="","",L262-TODAY())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IF(K263="","",IF(M263="Concluída","",TODAY()-K263))</f>
        <v/>
      </c>
      <c r="P263" s="57">
        <f>IF(L263="","",L263-TODAY())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IF(K264="","",IF(M264="Concluída","",TODAY()-K264))</f>
        <v/>
      </c>
      <c r="P264" s="57">
        <f>IF(L264="","",L264-TODAY())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IF(K265="","",IF(M265="Concluída","",TODAY()-K265))</f>
        <v/>
      </c>
      <c r="P265" s="57">
        <f>IF(L265="","",L265-TODAY())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IF(K266="","",IF(M266="Concluída","",TODAY()-K266))</f>
        <v/>
      </c>
      <c r="P266" s="57">
        <f>IF(L266="","",L266-TODAY())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IF(K267="","",IF(M267="Concluída","",TODAY()-K267))</f>
        <v/>
      </c>
      <c r="P267" s="57">
        <f>IF(L267="","",L267-TODAY())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IF(K268="","",IF(M268="Concluída","",TODAY()-K268))</f>
        <v/>
      </c>
      <c r="P268" s="57">
        <f>IF(L268="","",L268-TODAY())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IF(K269="","",IF(M269="Concluída","",TODAY()-K269))</f>
        <v/>
      </c>
      <c r="P269" s="57">
        <f>IF(L269="","",L269-TODAY())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IF(K270="","",IF(M270="Concluída","",TODAY()-K270))</f>
        <v/>
      </c>
      <c r="P270" s="57">
        <f>IF(L270="","",L270-TODAY())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IF(K271="","",IF(M271="Concluída","",TODAY()-K271))</f>
        <v/>
      </c>
      <c r="P271" s="57">
        <f>IF(L271="","",L271-TODAY())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IF(K272="","",IF(M272="Concluída","",TODAY()-K272))</f>
        <v/>
      </c>
      <c r="P272" s="57">
        <f>IF(L272="","",L272-TODAY())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IF(K273="","",IF(M273="Concluída","",TODAY()-K273))</f>
        <v/>
      </c>
      <c r="P273" s="57">
        <f>IF(L273="","",L273-TODAY())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IF(K274="","",IF(M274="Concluída","",TODAY()-K274))</f>
        <v/>
      </c>
      <c r="P274" s="57">
        <f>IF(L274="","",L274-TODAY())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IF(K275="","",IF(M275="Concluída","",TODAY()-K275))</f>
        <v/>
      </c>
      <c r="P275" s="57">
        <f>IF(L275="","",L275-TODAY())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IF(K276="","",IF(M276="Concluída","",TODAY()-K276))</f>
        <v/>
      </c>
      <c r="P276" s="57">
        <f>IF(L276="","",L276-TODAY())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IF(K277="","",IF(M277="Concluída","",TODAY()-K277))</f>
        <v/>
      </c>
      <c r="P277" s="57">
        <f>IF(L277="","",L277-TODAY())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IF(K278="","",IF(M278="Concluída","",TODAY()-K278))</f>
        <v/>
      </c>
      <c r="P278" s="57">
        <f>IF(L278="","",L278-TODAY())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IF(K279="","",IF(M279="Concluída","",TODAY()-K279))</f>
        <v/>
      </c>
      <c r="P279" s="57">
        <f>IF(L279="","",L279-TODAY())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IF(K280="","",IF(M280="Concluída","",TODAY()-K280))</f>
        <v/>
      </c>
      <c r="P280" s="57">
        <f>IF(L280="","",L280-TODAY())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IF(K281="","",IF(M281="Concluída","",TODAY()-K281))</f>
        <v/>
      </c>
      <c r="P281" s="57">
        <f>IF(L281="","",L281-TODAY())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IF(K282="","",IF(M282="Concluída","",TODAY()-K282))</f>
        <v/>
      </c>
      <c r="P282" s="57">
        <f>IF(L282="","",L282-TODAY())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IF(K283="","",IF(M283="Concluída","",TODAY()-K283))</f>
        <v/>
      </c>
      <c r="P283" s="57">
        <f>IF(L283="","",L283-TODAY())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IF(K284="","",IF(M284="Concluída","",TODAY()-K284))</f>
        <v/>
      </c>
      <c r="P284" s="57">
        <f>IF(L284="","",L284-TODAY())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IF(K285="","",IF(M285="Concluída","",TODAY()-K285))</f>
        <v/>
      </c>
      <c r="P285" s="57">
        <f>IF(L285="","",L285-TODAY())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IF(K286="","",IF(M286="Concluída","",TODAY()-K286))</f>
        <v/>
      </c>
      <c r="P286" s="57">
        <f>IF(L286="","",L286-TODAY())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IF(K287="","",IF(M287="Concluída","",TODAY()-K287))</f>
        <v/>
      </c>
      <c r="P287" s="57">
        <f>IF(L287="","",L287-TODAY())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IF(K288="","",IF(M288="Concluída","",TODAY()-K288))</f>
        <v/>
      </c>
      <c r="P288" s="57">
        <f>IF(L288="","",L288-TODAY())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IF(K289="","",IF(M289="Concluída","",TODAY()-K289))</f>
        <v/>
      </c>
      <c r="P289" s="57">
        <f>IF(L289="","",L289-TODAY())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IF(K290="","",IF(M290="Concluída","",TODAY()-K290))</f>
        <v/>
      </c>
      <c r="P290" s="57">
        <f>IF(L290="","",L290-TODAY())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IF(K291="","",IF(M291="Concluída","",TODAY()-K291))</f>
        <v/>
      </c>
      <c r="P291" s="57">
        <f>IF(L291="","",L291-TODAY())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IF(K292="","",IF(M292="Concluída","",TODAY()-K292))</f>
        <v/>
      </c>
      <c r="P292" s="57">
        <f>IF(L292="","",L292-TODAY())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IF(K293="","",IF(M293="Concluída","",TODAY()-K293))</f>
        <v/>
      </c>
      <c r="P293" s="57">
        <f>IF(L293="","",L293-TODAY())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IF(K294="","",IF(M294="Concluída","",TODAY()-K294))</f>
        <v/>
      </c>
      <c r="P294" s="57">
        <f>IF(L294="","",L294-TODAY())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IF(K295="","",IF(M295="Concluída","",TODAY()-K295))</f>
        <v/>
      </c>
      <c r="P295" s="57">
        <f>IF(L295="","",L295-TODAY())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IF(K296="","",IF(M296="Concluída","",TODAY()-K296))</f>
        <v/>
      </c>
      <c r="P296" s="57">
        <f>IF(L296="","",L296-TODAY())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IF(K297="","",IF(M297="Concluída","",TODAY()-K297))</f>
        <v/>
      </c>
      <c r="P297" s="57">
        <f>IF(L297="","",L297-TODAY())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IF(K298="","",IF(M298="Concluída","",TODAY()-K298))</f>
        <v/>
      </c>
      <c r="P298" s="57">
        <f>IF(L298="","",L298-TODAY())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IF(K299="","",IF(M299="Concluída","",TODAY()-K299))</f>
        <v/>
      </c>
      <c r="P299" s="57">
        <f>IF(L299="","",L299-TODAY())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IF(K300="","",IF(M300="Concluída","",TODAY()-K300))</f>
        <v/>
      </c>
      <c r="P300" s="57">
        <f>IF(L300="","",L300-TODAY())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IF(K301="","",IF(M301="Concluída","",TODAY()-K301))</f>
        <v/>
      </c>
      <c r="P301" s="57">
        <f>IF(L301="","",L301-TODAY())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IF(K302="","",IF(M302="Concluída","",TODAY()-K302))</f>
        <v/>
      </c>
      <c r="P302" s="57">
        <f>IF(L302="","",L302-TODAY())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IF(K303="","",IF(M303="Concluída","",TODAY()-K303))</f>
        <v/>
      </c>
      <c r="P303" s="57">
        <f>IF(L303="","",L303-TODAY())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IF(K304="","",IF(M304="Concluída","",TODAY()-K304))</f>
        <v/>
      </c>
      <c r="P304" s="57">
        <f>IF(L304="","",L304-TODAY())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IF(K305="","",IF(M305="Concluída","",TODAY()-K305))</f>
        <v/>
      </c>
      <c r="P305" s="57">
        <f>IF(L305="","",L305-TODAY())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IF(K306="","",IF(M306="Concluída","",TODAY()-K306))</f>
        <v/>
      </c>
      <c r="P306" s="57">
        <f>IF(L306="","",L306-TODAY())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IF(K307="","",IF(M307="Concluída","",TODAY()-K307))</f>
        <v/>
      </c>
      <c r="P307" s="57">
        <f>IF(L307="","",L307-TODAY())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IF(K308="","",IF(M308="Concluída","",TODAY()-K308))</f>
        <v/>
      </c>
      <c r="P308" s="57">
        <f>IF(L308="","",L308-TODAY())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IF(K309="","",IF(M309="Concluída","",TODAY()-K309))</f>
        <v/>
      </c>
      <c r="P309" s="57">
        <f>IF(L309="","",L309-TODAY())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IF(K310="","",IF(M310="Concluída","",TODAY()-K310))</f>
        <v/>
      </c>
      <c r="P310" s="57">
        <f>IF(L310="","",L310-TODAY())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IF(K311="","",IF(M311="Concluída","",TODAY()-K311))</f>
        <v/>
      </c>
      <c r="P311" s="57">
        <f>IF(L311="","",L311-TODAY())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IF(K312="","",IF(M312="Concluída","",TODAY()-K312))</f>
        <v/>
      </c>
      <c r="P312" s="57">
        <f>IF(L312="","",L312-TODAY())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IF(K313="","",IF(M313="Concluída","",TODAY()-K313))</f>
        <v/>
      </c>
      <c r="P313" s="57">
        <f>IF(L313="","",L313-TODAY())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IF(K314="","",IF(M314="Concluída","",TODAY()-K314))</f>
        <v/>
      </c>
      <c r="P314" s="57">
        <f>IF(L314="","",L314-TODAY())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IF(K315="","",IF(M315="Concluída","",TODAY()-K315))</f>
        <v/>
      </c>
      <c r="P315" s="57">
        <f>IF(L315="","",L315-TODAY())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IF(K316="","",IF(M316="Concluída","",TODAY()-K316))</f>
        <v/>
      </c>
      <c r="P316" s="57">
        <f>IF(L316="","",L316-TODAY())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IF(K317="","",IF(M317="Concluída","",TODAY()-K317))</f>
        <v/>
      </c>
      <c r="P317" s="57">
        <f>IF(L317="","",L317-TODAY())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IF(K318="","",IF(M318="Concluída","",TODAY()-K318))</f>
        <v/>
      </c>
      <c r="P318" s="57">
        <f>IF(L318="","",L318-TODAY())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IF(K319="","",IF(M319="Concluída","",TODAY()-K319))</f>
        <v/>
      </c>
      <c r="P319" s="57">
        <f>IF(L319="","",L319-TODAY())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IF(K320="","",IF(M320="Concluída","",TODAY()-K320))</f>
        <v/>
      </c>
      <c r="P320" s="57">
        <f>IF(L320="","",L320-TODAY())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IF(K321="","",IF(M321="Concluída","",TODAY()-K321))</f>
        <v/>
      </c>
      <c r="P321" s="57">
        <f>IF(L321="","",L321-TODAY())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IF(K322="","",IF(M322="Concluída","",TODAY()-K322))</f>
        <v/>
      </c>
      <c r="P322" s="57">
        <f>IF(L322="","",L322-TODAY())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IF(K323="","",IF(M323="Concluída","",TODAY()-K323))</f>
        <v/>
      </c>
      <c r="P323" s="57">
        <f>IF(L323="","",L323-TODAY())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IF(K324="","",IF(M324="Concluída","",TODAY()-K324))</f>
        <v/>
      </c>
      <c r="P324" s="57">
        <f>IF(L324="","",L324-TODAY())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IF(K325="","",IF(M325="Concluída","",TODAY()-K325))</f>
        <v/>
      </c>
      <c r="P325" s="57">
        <f>IF(L325="","",L325-TODAY())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IF(K326="","",IF(M326="Concluída","",TODAY()-K326))</f>
        <v/>
      </c>
      <c r="P326" s="57">
        <f>IF(L326="","",L326-TODAY())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IF(K327="","",IF(M327="Concluída","",TODAY()-K327))</f>
        <v/>
      </c>
      <c r="P327" s="57">
        <f>IF(L327="","",L327-TODAY())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IF(K328="","",IF(M328="Concluída","",TODAY()-K328))</f>
        <v/>
      </c>
      <c r="P328" s="57">
        <f>IF(L328="","",L328-TODAY())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IF(K329="","",IF(M329="Concluída","",TODAY()-K329))</f>
        <v/>
      </c>
      <c r="P329" s="57">
        <f>IF(L329="","",L329-TODAY())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IF(K330="","",IF(M330="Concluída","",TODAY()-K330))</f>
        <v/>
      </c>
      <c r="P330" s="57">
        <f>IF(L330="","",L330-TODAY())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IF(K331="","",IF(M331="Concluída","",TODAY()-K331))</f>
        <v/>
      </c>
      <c r="P331" s="57">
        <f>IF(L331="","",L331-TODAY())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IF(K332="","",IF(M332="Concluída","",TODAY()-K332))</f>
        <v/>
      </c>
      <c r="P332" s="57">
        <f>IF(L332="","",L332-TODAY())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IF(K333="","",IF(M333="Concluída","",TODAY()-K333))</f>
        <v/>
      </c>
      <c r="P333" s="57">
        <f>IF(L333="","",L333-TODAY())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IF(K334="","",IF(M334="Concluída","",TODAY()-K334))</f>
        <v/>
      </c>
      <c r="P334" s="57">
        <f>IF(L334="","",L334-TODAY())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IF(K335="","",IF(M335="Concluída","",TODAY()-K335))</f>
        <v/>
      </c>
      <c r="P335" s="57">
        <f>IF(L335="","",L335-TODAY())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IF(K336="","",IF(M336="Concluída","",TODAY()-K336))</f>
        <v/>
      </c>
      <c r="P336" s="57">
        <f>IF(L336="","",L336-TODAY())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IF(K337="","",IF(M337="Concluída","",TODAY()-K337))</f>
        <v/>
      </c>
      <c r="P337" s="57">
        <f>IF(L337="","",L337-TODAY())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IF(K338="","",IF(M338="Concluída","",TODAY()-K338))</f>
        <v/>
      </c>
      <c r="P338" s="57">
        <f>IF(L338="","",L338-TODAY())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IF(K339="","",IF(M339="Concluída","",TODAY()-K339))</f>
        <v/>
      </c>
      <c r="P339" s="57">
        <f>IF(L339="","",L339-TODAY())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IF(K340="","",IF(M340="Concluída","",TODAY()-K340))</f>
        <v/>
      </c>
      <c r="P340" s="57">
        <f>IF(L340="","",L340-TODAY())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IF(K341="","",IF(M341="Concluída","",TODAY()-K341))</f>
        <v/>
      </c>
      <c r="P341" s="57">
        <f>IF(L341="","",L341-TODAY())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IF(K342="","",IF(M342="Concluída","",TODAY()-K342))</f>
        <v/>
      </c>
      <c r="P342" s="57">
        <f>IF(L342="","",L342-TODAY())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IF(K343="","",IF(M343="Concluída","",TODAY()-K343))</f>
        <v/>
      </c>
      <c r="P343" s="57">
        <f>IF(L343="","",L343-TODAY())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IF(K344="","",IF(M344="Concluída","",TODAY()-K344))</f>
        <v/>
      </c>
      <c r="P344" s="57">
        <f>IF(L344="","",L344-TODAY())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IF(K345="","",IF(M345="Concluída","",TODAY()-K345))</f>
        <v/>
      </c>
      <c r="P345" s="57">
        <f>IF(L345="","",L345-TODAY())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IF(K346="","",IF(M346="Concluída","",TODAY()-K346))</f>
        <v/>
      </c>
      <c r="P346" s="57">
        <f>IF(L346="","",L346-TODAY())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IF(K347="","",IF(M347="Concluída","",TODAY()-K347))</f>
        <v/>
      </c>
      <c r="P347" s="57">
        <f>IF(L347="","",L347-TODAY())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IF(K348="","",IF(M348="Concluída","",TODAY()-K348))</f>
        <v/>
      </c>
      <c r="P348" s="57">
        <f>IF(L348="","",L348-TODAY())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IF(K349="","",IF(M349="Concluída","",TODAY()-K349))</f>
        <v/>
      </c>
      <c r="P349" s="57">
        <f>IF(L349="","",L349-TODAY())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IF(K350="","",IF(M350="Concluída","",TODAY()-K350))</f>
        <v/>
      </c>
      <c r="P350" s="57">
        <f>IF(L350="","",L350-TODAY())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IF(K351="","",IF(M351="Concluída","",TODAY()-K351))</f>
        <v/>
      </c>
      <c r="P351" s="57">
        <f>IF(L351="","",L351-TODAY())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IF(K352="","",IF(M352="Concluída","",TODAY()-K352))</f>
        <v/>
      </c>
      <c r="P352" s="57">
        <f>IF(L352="","",L352-TODAY())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IF(K353="","",IF(M353="Concluída","",TODAY()-K353))</f>
        <v/>
      </c>
      <c r="P353" s="57">
        <f>IF(L353="","",L353-TODAY())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IF(K354="","",IF(M354="Concluída","",TODAY()-K354))</f>
        <v/>
      </c>
      <c r="P354" s="57">
        <f>IF(L354="","",L354-TODAY())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IF(K355="","",IF(M355="Concluída","",TODAY()-K355))</f>
        <v/>
      </c>
      <c r="P355" s="57">
        <f>IF(L355="","",L355-TODAY())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IF(K356="","",IF(M356="Concluída","",TODAY()-K356))</f>
        <v/>
      </c>
      <c r="P356" s="57">
        <f>IF(L356="","",L356-TODAY())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IF(K357="","",IF(M357="Concluída","",TODAY()-K357))</f>
        <v/>
      </c>
      <c r="P357" s="57">
        <f>IF(L357="","",L357-TODAY())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IF(K358="","",IF(M358="Concluída","",TODAY()-K358))</f>
        <v/>
      </c>
      <c r="P358" s="57">
        <f>IF(L358="","",L358-TODAY())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IF(K359="","",IF(M359="Concluída","",TODAY()-K359))</f>
        <v/>
      </c>
      <c r="P359" s="57">
        <f>IF(L359="","",L359-TODAY())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IF(K360="","",IF(M360="Concluída","",TODAY()-K360))</f>
        <v/>
      </c>
      <c r="P360" s="57">
        <f>IF(L360="","",L360-TODAY())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IF(K361="","",IF(M361="Concluída","",TODAY()-K361))</f>
        <v/>
      </c>
      <c r="P361" s="57">
        <f>IF(L361="","",L361-TODAY())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IF(K362="","",IF(M362="Concluída","",TODAY()-K362))</f>
        <v/>
      </c>
      <c r="P362" s="57">
        <f>IF(L362="","",L362-TODAY())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IF(K363="","",IF(M363="Concluída","",TODAY()-K363))</f>
        <v/>
      </c>
      <c r="P363" s="57">
        <f>IF(L363="","",L363-TODAY())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IF(K364="","",IF(M364="Concluída","",TODAY()-K364))</f>
        <v/>
      </c>
      <c r="P364" s="57">
        <f>IF(L364="","",L364-TODAY())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IF(K365="","",IF(M365="Concluída","",TODAY()-K365))</f>
        <v/>
      </c>
      <c r="P365" s="57">
        <f>IF(L365="","",L365-TODAY())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IF(K366="","",IF(M366="Concluída","",TODAY()-K366))</f>
        <v/>
      </c>
      <c r="P366" s="57">
        <f>IF(L366="","",L366-TODAY())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IF(K367="","",IF(M367="Concluída","",TODAY()-K367))</f>
        <v/>
      </c>
      <c r="P367" s="57">
        <f>IF(L367="","",L367-TODAY())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IF(K368="","",IF(M368="Concluída","",TODAY()-K368))</f>
        <v/>
      </c>
      <c r="P368" s="57">
        <f>IF(L368="","",L368-TODAY())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IF(K369="","",IF(M369="Concluída","",TODAY()-K369))</f>
        <v/>
      </c>
      <c r="P369" s="57">
        <f>IF(L369="","",L369-TODAY())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IF(K370="","",IF(M370="Concluída","",TODAY()-K370))</f>
        <v/>
      </c>
      <c r="P370" s="57">
        <f>IF(L370="","",L370-TODAY())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IF(K371="","",IF(M371="Concluída","",TODAY()-K371))</f>
        <v/>
      </c>
      <c r="P371" s="57">
        <f>IF(L371="","",L371-TODAY())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IF(K372="","",IF(M372="Concluída","",TODAY()-K372))</f>
        <v/>
      </c>
      <c r="P372" s="57">
        <f>IF(L372="","",L372-TODAY())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IF(K373="","",IF(M373="Concluída","",TODAY()-K373))</f>
        <v/>
      </c>
      <c r="P373" s="57">
        <f>IF(L373="","",L373-TODAY())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IF(K374="","",IF(M374="Concluída","",TODAY()-K374))</f>
        <v/>
      </c>
      <c r="P374" s="57">
        <f>IF(L374="","",L374-TODAY())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IF(K375="","",IF(M375="Concluída","",TODAY()-K375))</f>
        <v/>
      </c>
      <c r="P375" s="57">
        <f>IF(L375="","",L375-TODAY())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IF(K376="","",IF(M376="Concluída","",TODAY()-K376))</f>
        <v/>
      </c>
      <c r="P376" s="57">
        <f>IF(L376="","",L376-TODAY())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IF(K377="","",IF(M377="Concluída","",TODAY()-K377))</f>
        <v/>
      </c>
      <c r="P377" s="57">
        <f>IF(L377="","",L377-TODAY())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IF(K378="","",IF(M378="Concluída","",TODAY()-K378))</f>
        <v/>
      </c>
      <c r="P378" s="57">
        <f>IF(L378="","",L378-TODAY())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IF(K379="","",IF(M379="Concluída","",TODAY()-K379))</f>
        <v/>
      </c>
      <c r="P379" s="57">
        <f>IF(L379="","",L379-TODAY())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IF(K380="","",IF(M380="Concluída","",TODAY()-K380))</f>
        <v/>
      </c>
      <c r="P380" s="57">
        <f>IF(L380="","",L380-TODAY())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IF(K381="","",IF(M381="Concluída","",TODAY()-K381))</f>
        <v/>
      </c>
      <c r="P381" s="57">
        <f>IF(L381="","",L381-TODAY())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IF(K382="","",IF(M382="Concluída","",TODAY()-K382))</f>
        <v/>
      </c>
      <c r="P382" s="57">
        <f>IF(L382="","",L382-TODAY())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IF(K383="","",IF(M383="Concluída","",TODAY()-K383))</f>
        <v/>
      </c>
      <c r="P383" s="57">
        <f>IF(L383="","",L383-TODAY())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IF(K384="","",IF(M384="Concluída","",TODAY()-K384))</f>
        <v/>
      </c>
      <c r="P384" s="57">
        <f>IF(L384="","",L384-TODAY())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IF(K385="","",IF(M385="Concluída","",TODAY()-K385))</f>
        <v/>
      </c>
      <c r="P385" s="57">
        <f>IF(L385="","",L385-TODAY())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IF(K386="","",IF(M386="Concluída","",TODAY()-K386))</f>
        <v/>
      </c>
      <c r="P386" s="57">
        <f>IF(L386="","",L386-TODAY())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IF(K387="","",IF(M387="Concluída","",TODAY()-K387))</f>
        <v/>
      </c>
      <c r="P387" s="57">
        <f>IF(L387="","",L387-TODAY())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IF(K388="","",IF(M388="Concluída","",TODAY()-K388))</f>
        <v/>
      </c>
      <c r="P388" s="57">
        <f>IF(L388="","",L388-TODAY())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IF(K389="","",IF(M389="Concluída","",TODAY()-K389))</f>
        <v/>
      </c>
      <c r="P389" s="57">
        <f>IF(L389="","",L389-TODAY())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IF(K390="","",IF(M390="Concluída","",TODAY()-K390))</f>
        <v/>
      </c>
      <c r="P390" s="57">
        <f>IF(L390="","",L390-TODAY())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IF(K391="","",IF(M391="Concluída","",TODAY()-K391))</f>
        <v/>
      </c>
      <c r="P391" s="57">
        <f>IF(L391="","",L391-TODAY())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IF(K392="","",IF(M392="Concluída","",TODAY()-K392))</f>
        <v/>
      </c>
      <c r="P392" s="57">
        <f>IF(L392="","",L392-TODAY())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IF(K393="","",IF(M393="Concluída","",TODAY()-K393))</f>
        <v/>
      </c>
      <c r="P393" s="57">
        <f>IF(L393="","",L393-TODAY())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IF(K394="","",IF(M394="Concluída","",TODAY()-K394))</f>
        <v/>
      </c>
      <c r="P394" s="57">
        <f>IF(L394="","",L394-TODAY())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IF(K395="","",IF(M395="Concluída","",TODAY()-K395))</f>
        <v/>
      </c>
      <c r="P395" s="57">
        <f>IF(L395="","",L395-TODAY())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IF(K396="","",IF(M396="Concluída","",TODAY()-K396))</f>
        <v/>
      </c>
      <c r="P396" s="57">
        <f>IF(L396="","",L396-TODAY())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IF(K397="","",IF(M397="Concluída","",TODAY()-K397))</f>
        <v/>
      </c>
      <c r="P397" s="57">
        <f>IF(L397="","",L397-TODAY())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IF(K398="","",IF(M398="Concluída","",TODAY()-K398))</f>
        <v/>
      </c>
      <c r="P398" s="57">
        <f>IF(L398="","",L398-TODAY())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IF(K399="","",IF(M399="Concluída","",TODAY()-K399))</f>
        <v/>
      </c>
      <c r="P399" s="57">
        <f>IF(L399="","",L399-TODAY())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IF(K400="","",IF(M400="Concluída","",TODAY()-K400))</f>
        <v/>
      </c>
      <c r="P400" s="57">
        <f>IF(L400="","",L400-TODAY())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IF(K401="","",IF(M401="Concluída","",TODAY()-K401))</f>
        <v/>
      </c>
      <c r="P401" s="57">
        <f>IF(L401="","",L401-TODAY())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IF(K402="","",IF(M402="Concluída","",TODAY()-K402))</f>
        <v/>
      </c>
      <c r="P402" s="57">
        <f>IF(L402="","",L402-TODAY())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IF(K403="","",IF(M403="Concluída","",TODAY()-K403))</f>
        <v/>
      </c>
      <c r="P403" s="57">
        <f>IF(L403="","",L403-TODAY())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IF(K404="","",IF(M404="Concluída","",TODAY()-K404))</f>
        <v/>
      </c>
      <c r="P404" s="57">
        <f>IF(L404="","",L404-TODAY())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IF(K405="","",IF(M405="Concluída","",TODAY()-K405))</f>
        <v/>
      </c>
      <c r="P405" s="57">
        <f>IF(L405="","",L405-TODAY())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IF(K406="","",IF(M406="Concluída","",TODAY()-K406))</f>
        <v/>
      </c>
      <c r="P406" s="57">
        <f>IF(L406="","",L406-TODAY())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IF(K407="","",IF(M407="Concluída","",TODAY()-K407))</f>
        <v/>
      </c>
      <c r="P407" s="57">
        <f>IF(L407="","",L407-TODAY())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IF(K408="","",IF(M408="Concluída","",TODAY()-K408))</f>
        <v/>
      </c>
      <c r="P408" s="57">
        <f>IF(L408="","",L408-TODAY())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IF(K409="","",IF(M409="Concluída","",TODAY()-K409))</f>
        <v/>
      </c>
      <c r="P409" s="57">
        <f>IF(L409="","",L409-TODAY())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IF(K410="","",IF(M410="Concluída","",TODAY()-K410))</f>
        <v/>
      </c>
      <c r="P410" s="57">
        <f>IF(L410="","",L410-TODAY())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IF(K411="","",IF(M411="Concluída","",TODAY()-K411))</f>
        <v/>
      </c>
      <c r="P411" s="57">
        <f>IF(L411="","",L411-TODAY())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IF(K412="","",IF(M412="Concluída","",TODAY()-K412))</f>
        <v/>
      </c>
      <c r="P412" s="57">
        <f>IF(L412="","",L412-TODAY())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IF(K413="","",IF(M413="Concluída","",TODAY()-K413))</f>
        <v/>
      </c>
      <c r="P413" s="57">
        <f>IF(L413="","",L413-TODAY())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IF(K414="","",IF(M414="Concluída","",TODAY()-K414))</f>
        <v/>
      </c>
      <c r="P414" s="57">
        <f>IF(L414="","",L414-TODAY())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IF(K415="","",IF(M415="Concluída","",TODAY()-K415))</f>
        <v/>
      </c>
      <c r="P415" s="57">
        <f>IF(L415="","",L415-TODAY())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IF(K416="","",IF(M416="Concluída","",TODAY()-K416))</f>
        <v/>
      </c>
      <c r="P416" s="57">
        <f>IF(L416="","",L416-TODAY())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IF(K417="","",IF(M417="Concluída","",TODAY()-K417))</f>
        <v/>
      </c>
      <c r="P417" s="57">
        <f>IF(L417="","",L417-TODAY())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IF(K418="","",IF(M418="Concluída","",TODAY()-K418))</f>
        <v/>
      </c>
      <c r="P418" s="57">
        <f>IF(L418="","",L418-TODAY())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IF(K419="","",IF(M419="Concluída","",TODAY()-K419))</f>
        <v/>
      </c>
      <c r="P419" s="57">
        <f>IF(L419="","",L419-TODAY())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IF(K420="","",IF(M420="Concluída","",TODAY()-K420))</f>
        <v/>
      </c>
      <c r="P420" s="57">
        <f>IF(L420="","",L420-TODAY())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IF(K421="","",IF(M421="Concluída","",TODAY()-K421))</f>
        <v/>
      </c>
      <c r="P421" s="57">
        <f>IF(L421="","",L421-TODAY())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IF(K422="","",IF(M422="Concluída","",TODAY()-K422))</f>
        <v/>
      </c>
      <c r="P422" s="57">
        <f>IF(L422="","",L422-TODAY())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IF(K423="","",IF(M423="Concluída","",TODAY()-K423))</f>
        <v/>
      </c>
      <c r="P423" s="57">
        <f>IF(L423="","",L423-TODAY())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IF(K424="","",IF(M424="Concluída","",TODAY()-K424))</f>
        <v/>
      </c>
      <c r="P424" s="57">
        <f>IF(L424="","",L424-TODAY())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IF(K425="","",IF(M425="Concluída","",TODAY()-K425))</f>
        <v/>
      </c>
      <c r="P425" s="57">
        <f>IF(L425="","",L425-TODAY())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IF(K426="","",IF(M426="Concluída","",TODAY()-K426))</f>
        <v/>
      </c>
      <c r="P426" s="57">
        <f>IF(L426="","",L426-TODAY())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IF(K427="","",IF(M427="Concluída","",TODAY()-K427))</f>
        <v/>
      </c>
      <c r="P427" s="57">
        <f>IF(L427="","",L427-TODAY())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IF(K428="","",IF(M428="Concluída","",TODAY()-K428))</f>
        <v/>
      </c>
      <c r="P428" s="57">
        <f>IF(L428="","",L428-TODAY())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IF(K429="","",IF(M429="Concluída","",TODAY()-K429))</f>
        <v/>
      </c>
      <c r="P429" s="57">
        <f>IF(L429="","",L429-TODAY())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IF(K430="","",IF(M430="Concluída","",TODAY()-K430))</f>
        <v/>
      </c>
      <c r="P430" s="57">
        <f>IF(L430="","",L430-TODAY())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IF(K431="","",IF(M431="Concluída","",TODAY()-K431))</f>
        <v/>
      </c>
      <c r="P431" s="57">
        <f>IF(L431="","",L431-TODAY())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IF(K432="","",IF(M432="Concluída","",TODAY()-K432))</f>
        <v/>
      </c>
      <c r="P432" s="57">
        <f>IF(L432="","",L432-TODAY())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IF(K433="","",IF(M433="Concluída","",TODAY()-K433))</f>
        <v/>
      </c>
      <c r="P433" s="57">
        <f>IF(L433="","",L433-TODAY())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IF(K434="","",IF(M434="Concluída","",TODAY()-K434))</f>
        <v/>
      </c>
      <c r="P434" s="57">
        <f>IF(L434="","",L434-TODAY())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IF(K435="","",IF(M435="Concluída","",TODAY()-K435))</f>
        <v/>
      </c>
      <c r="P435" s="57">
        <f>IF(L435="","",L435-TODAY())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IF(K436="","",IF(M436="Concluída","",TODAY()-K436))</f>
        <v/>
      </c>
      <c r="P436" s="57">
        <f>IF(L436="","",L436-TODAY())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IF(K437="","",IF(M437="Concluída","",TODAY()-K437))</f>
        <v/>
      </c>
      <c r="P437" s="57">
        <f>IF(L437="","",L437-TODAY())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IF(K438="","",IF(M438="Concluída","",TODAY()-K438))</f>
        <v/>
      </c>
      <c r="P438" s="57">
        <f>IF(L438="","",L438-TODAY())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IF(K439="","",IF(M439="Concluída","",TODAY()-K439))</f>
        <v/>
      </c>
      <c r="P439" s="57">
        <f>IF(L439="","",L439-TODAY())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IF(K440="","",IF(M440="Concluída","",TODAY()-K440))</f>
        <v/>
      </c>
      <c r="P440" s="57">
        <f>IF(L440="","",L440-TODAY())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IF(K441="","",IF(M441="Concluída","",TODAY()-K441))</f>
        <v/>
      </c>
      <c r="P441" s="57">
        <f>IF(L441="","",L441-TODAY())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IF(K442="","",IF(M442="Concluída","",TODAY()-K442))</f>
        <v/>
      </c>
      <c r="P442" s="57">
        <f>IF(L442="","",L442-TODAY())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IF(K443="","",IF(M443="Concluída","",TODAY()-K443))</f>
        <v/>
      </c>
      <c r="P443" s="57">
        <f>IF(L443="","",L443-TODAY())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IF(K444="","",IF(M444="Concluída","",TODAY()-K444))</f>
        <v/>
      </c>
      <c r="P444" s="57">
        <f>IF(L444="","",L444-TODAY())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IF(K445="","",IF(M445="Concluída","",TODAY()-K445))</f>
        <v/>
      </c>
      <c r="P445" s="57">
        <f>IF(L445="","",L445-TODAY())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IF(K446="","",IF(M446="Concluída","",TODAY()-K446))</f>
        <v/>
      </c>
      <c r="P446" s="57">
        <f>IF(L446="","",L446-TODAY())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IF(K447="","",IF(M447="Concluída","",TODAY()-K447))</f>
        <v/>
      </c>
      <c r="P447" s="57">
        <f>IF(L447="","",L447-TODAY())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IF(K448="","",IF(M448="Concluída","",TODAY()-K448))</f>
        <v/>
      </c>
      <c r="P448" s="57">
        <f>IF(L448="","",L448-TODAY())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IF(K449="","",IF(M449="Concluída","",TODAY()-K449))</f>
        <v/>
      </c>
      <c r="P449" s="57">
        <f>IF(L449="","",L449-TODAY())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IF(K450="","",IF(M450="Concluída","",TODAY()-K450))</f>
        <v/>
      </c>
      <c r="P450" s="57">
        <f>IF(L450="","",L450-TODAY())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IF(K451="","",IF(M451="Concluída","",TODAY()-K451))</f>
        <v/>
      </c>
      <c r="P451" s="57">
        <f>IF(L451="","",L451-TODAY())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IF(K452="","",IF(M452="Concluída","",TODAY()-K452))</f>
        <v/>
      </c>
      <c r="P452" s="57">
        <f>IF(L452="","",L452-TODAY())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IF(K453="","",IF(M453="Concluída","",TODAY()-K453))</f>
        <v/>
      </c>
      <c r="P453" s="57">
        <f>IF(L453="","",L453-TODAY())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IF(K454="","",IF(M454="Concluída","",TODAY()-K454))</f>
        <v/>
      </c>
      <c r="P454" s="57">
        <f>IF(L454="","",L454-TODAY())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IF(K455="","",IF(M455="Concluída","",TODAY()-K455))</f>
        <v/>
      </c>
      <c r="P455" s="57">
        <f>IF(L455="","",L455-TODAY())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IF(K456="","",IF(M456="Concluída","",TODAY()-K456))</f>
        <v/>
      </c>
      <c r="P456" s="57">
        <f>IF(L456="","",L456-TODAY())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IF(K457="","",IF(M457="Concluída","",TODAY()-K457))</f>
        <v/>
      </c>
      <c r="P457" s="57">
        <f>IF(L457="","",L457-TODAY())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IF(K458="","",IF(M458="Concluída","",TODAY()-K458))</f>
        <v/>
      </c>
      <c r="P458" s="57">
        <f>IF(L458="","",L458-TODAY())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IF(K459="","",IF(M459="Concluída","",TODAY()-K459))</f>
        <v/>
      </c>
      <c r="P459" s="57">
        <f>IF(L459="","",L459-TODAY())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IF(K460="","",IF(M460="Concluída","",TODAY()-K460))</f>
        <v/>
      </c>
      <c r="P460" s="57">
        <f>IF(L460="","",L460-TODAY())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IF(K461="","",IF(M461="Concluída","",TODAY()-K461))</f>
        <v/>
      </c>
      <c r="P461" s="57">
        <f>IF(L461="","",L461-TODAY())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IF(K462="","",IF(M462="Concluída","",TODAY()-K462))</f>
        <v/>
      </c>
      <c r="P462" s="57">
        <f>IF(L462="","",L462-TODAY())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IF(K463="","",IF(M463="Concluída","",TODAY()-K463))</f>
        <v/>
      </c>
      <c r="P463" s="57">
        <f>IF(L463="","",L463-TODAY())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IF(K464="","",IF(M464="Concluída","",TODAY()-K464))</f>
        <v/>
      </c>
      <c r="P464" s="57">
        <f>IF(L464="","",L464-TODAY())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IF(K465="","",IF(M465="Concluída","",TODAY()-K465))</f>
        <v/>
      </c>
      <c r="P465" s="57">
        <f>IF(L465="","",L465-TODAY())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IF(K466="","",IF(M466="Concluída","",TODAY()-K466))</f>
        <v/>
      </c>
      <c r="P466" s="57">
        <f>IF(L466="","",L466-TODAY())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IF(K467="","",IF(M467="Concluída","",TODAY()-K467))</f>
        <v/>
      </c>
      <c r="P467" s="57">
        <f>IF(L467="","",L467-TODAY())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IF(K468="","",IF(M468="Concluída","",TODAY()-K468))</f>
        <v/>
      </c>
      <c r="P468" s="57">
        <f>IF(L468="","",L468-TODAY())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IF(K469="","",IF(M469="Concluída","",TODAY()-K469))</f>
        <v/>
      </c>
      <c r="P469" s="57">
        <f>IF(L469="","",L469-TODAY())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IF(K470="","",IF(M470="Concluída","",TODAY()-K470))</f>
        <v/>
      </c>
      <c r="P470" s="57">
        <f>IF(L470="","",L470-TODAY())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IF(K471="","",IF(M471="Concluída","",TODAY()-K471))</f>
        <v/>
      </c>
      <c r="P471" s="57">
        <f>IF(L471="","",L471-TODAY())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IF(K472="","",IF(M472="Concluída","",TODAY()-K472))</f>
        <v/>
      </c>
      <c r="P472" s="57">
        <f>IF(L472="","",L472-TODAY())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IF(K473="","",IF(M473="Concluída","",TODAY()-K473))</f>
        <v/>
      </c>
      <c r="P473" s="57">
        <f>IF(L473="","",L473-TODAY())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IF(K474="","",IF(M474="Concluída","",TODAY()-K474))</f>
        <v/>
      </c>
      <c r="P474" s="57">
        <f>IF(L474="","",L474-TODAY())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IF(K475="","",IF(M475="Concluída","",TODAY()-K475))</f>
        <v/>
      </c>
      <c r="P475" s="57">
        <f>IF(L475="","",L475-TODAY())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IF(K476="","",IF(M476="Concluída","",TODAY()-K476))</f>
        <v/>
      </c>
      <c r="P476" s="57">
        <f>IF(L476="","",L476-TODAY())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IF(K477="","",IF(M477="Concluída","",TODAY()-K477))</f>
        <v/>
      </c>
      <c r="P477" s="57">
        <f>IF(L477="","",L477-TODAY())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IF(K478="","",IF(M478="Concluída","",TODAY()-K478))</f>
        <v/>
      </c>
      <c r="P478" s="57">
        <f>IF(L478="","",L478-TODAY())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IF(K479="","",IF(M479="Concluída","",TODAY()-K479))</f>
        <v/>
      </c>
      <c r="P479" s="57">
        <f>IF(L479="","",L479-TODAY())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IF(K480="","",IF(M480="Concluída","",TODAY()-K480))</f>
        <v/>
      </c>
      <c r="P480" s="57">
        <f>IF(L480="","",L480-TODAY())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IF(K481="","",IF(M481="Concluída","",TODAY()-K481))</f>
        <v/>
      </c>
      <c r="P481" s="57">
        <f>IF(L481="","",L481-TODAY())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IF(K482="","",IF(M482="Concluída","",TODAY()-K482))</f>
        <v/>
      </c>
      <c r="P482" s="57">
        <f>IF(L482="","",L482-TODAY())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IF(K483="","",IF(M483="Concluída","",TODAY()-K483))</f>
        <v/>
      </c>
      <c r="P483" s="57">
        <f>IF(L483="","",L483-TODAY())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IF(K484="","",IF(M484="Concluída","",TODAY()-K484))</f>
        <v/>
      </c>
      <c r="P484" s="57">
        <f>IF(L484="","",L484-TODAY())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IF(K485="","",IF(M485="Concluída","",TODAY()-K485))</f>
        <v/>
      </c>
      <c r="P485" s="57">
        <f>IF(L485="","",L485-TODAY())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IF(K486="","",IF(M486="Concluída","",TODAY()-K486))</f>
        <v/>
      </c>
      <c r="P486" s="57">
        <f>IF(L486="","",L486-TODAY())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IF(K487="","",IF(M487="Concluída","",TODAY()-K487))</f>
        <v/>
      </c>
      <c r="P487" s="57">
        <f>IF(L487="","",L487-TODAY())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IF(K488="","",IF(M488="Concluída","",TODAY()-K488))</f>
        <v/>
      </c>
      <c r="P488" s="57">
        <f>IF(L488="","",L488-TODAY())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IF(K489="","",IF(M489="Concluída","",TODAY()-K489))</f>
        <v/>
      </c>
      <c r="P489" s="57">
        <f>IF(L489="","",L489-TODAY())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IF(K490="","",IF(M490="Concluída","",TODAY()-K490))</f>
        <v/>
      </c>
      <c r="P490" s="57">
        <f>IF(L490="","",L490-TODAY())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IF(K491="","",IF(M491="Concluída","",TODAY()-K491))</f>
        <v/>
      </c>
      <c r="P491" s="57">
        <f>IF(L491="","",L491-TODAY())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IF(K492="","",IF(M492="Concluída","",TODAY()-K492))</f>
        <v/>
      </c>
      <c r="P492" s="57">
        <f>IF(L492="","",L492-TODAY())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IF(K493="","",IF(M493="Concluída","",TODAY()-K493))</f>
        <v/>
      </c>
      <c r="P493" s="57">
        <f>IF(L493="","",L493-TODAY())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IF(K494="","",IF(M494="Concluída","",TODAY()-K494))</f>
        <v/>
      </c>
      <c r="P494" s="57">
        <f>IF(L494="","",L494-TODAY())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IF(K495="","",IF(M495="Concluída","",TODAY()-K495))</f>
        <v/>
      </c>
      <c r="P495" s="57">
        <f>IF(L495="","",L495-TODAY())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IF(K496="","",IF(M496="Concluída","",TODAY()-K496))</f>
        <v/>
      </c>
      <c r="P496" s="57">
        <f>IF(L496="","",L496-TODAY())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IF(K497="","",IF(M497="Concluída","",TODAY()-K497))</f>
        <v/>
      </c>
      <c r="P497" s="57">
        <f>IF(L497="","",L497-TODAY())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IF(K498="","",IF(M498="Concluída","",TODAY()-K498))</f>
        <v/>
      </c>
      <c r="P498" s="57">
        <f>IF(L498="","",L498-TODAY())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IF(K499="","",IF(M499="Concluída","",TODAY()-K499))</f>
        <v/>
      </c>
      <c r="P499" s="57">
        <f>IF(L499="","",L499-TODAY())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IF(K500="","",IF(M500="Concluída","",TODAY()-K500))</f>
        <v/>
      </c>
      <c r="P500" s="57">
        <f>IF(L500="","",L500-TODAY())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IF(K501="","",IF(M501="Concluída","",TODAY()-K501))</f>
        <v/>
      </c>
      <c r="P501" s="57">
        <f>IF(L501="","",L501-TODAY())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IF(K502="","",IF(M502="Concluída","",TODAY()-K502))</f>
        <v/>
      </c>
      <c r="P502" s="57">
        <f>IF(L502="","",L502-TODAY())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IF(K503="","",IF(M503="Concluída","",TODAY()-K503))</f>
        <v/>
      </c>
      <c r="P503" s="57">
        <f>IF(L503="","",L503-TODAY())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IF(K504="","",IF(M504="Concluída","",TODAY()-K504))</f>
        <v/>
      </c>
      <c r="P504" s="57">
        <f>IF(L504="","",L504-TODAY())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IF(K505="","",IF(M505="Concluída","",TODAY()-K505))</f>
        <v/>
      </c>
      <c r="P505" s="57">
        <f>IF(L505="","",L505-TODAY())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IF(K506="","",IF(M506="Concluída","",TODAY()-K506))</f>
        <v/>
      </c>
      <c r="P506" s="57">
        <f>IF(L506="","",L506-TODAY())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IF(K507="","",IF(M507="Concluída","",TODAY()-K507))</f>
        <v/>
      </c>
      <c r="P507" s="57">
        <f>IF(L507="","",L507-TODAY())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IF(K508="","",IF(M508="Concluída","",TODAY()-K508))</f>
        <v/>
      </c>
      <c r="P508" s="57">
        <f>IF(L508="","",L508-TODAY())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IF(K509="","",IF(M509="Concluída","",TODAY()-K509))</f>
        <v/>
      </c>
      <c r="P509" s="57">
        <f>IF(L509="","",L509-TODAY())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IF(K510="","",IF(M510="Concluída","",TODAY()-K510))</f>
        <v/>
      </c>
      <c r="P510" s="57">
        <f>IF(L510="","",L510-TODAY())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IF(K511="","",IF(M511="Concluída","",TODAY()-K511))</f>
        <v/>
      </c>
      <c r="P511" s="57">
        <f>IF(L511="","",L511-TODAY())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IF(K512="","",IF(M512="Concluída","",TODAY()-K512))</f>
        <v/>
      </c>
      <c r="P512" s="57">
        <f>IF(L512="","",L512-TODAY())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IF(K513="","",IF(M513="Concluída","",TODAY()-K513))</f>
        <v/>
      </c>
      <c r="P513" s="57">
        <f>IF(L513="","",L513-TODAY())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IF(K514="","",IF(M514="Concluída","",TODAY()-K514))</f>
        <v/>
      </c>
      <c r="P514" s="57">
        <f>IF(L514="","",L514-TODAY())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IF(K515="","",IF(M515="Concluída","",TODAY()-K515))</f>
        <v/>
      </c>
      <c r="P515" s="57">
        <f>IF(L515="","",L515-TODAY())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IF(K516="","",IF(M516="Concluída","",TODAY()-K516))</f>
        <v/>
      </c>
      <c r="P516" s="57">
        <f>IF(L516="","",L516-TODAY())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IF(K517="","",IF(M517="Concluída","",TODAY()-K517))</f>
        <v/>
      </c>
      <c r="P517" s="57">
        <f>IF(L517="","",L517-TODAY())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IF(K518="","",IF(M518="Concluída","",TODAY()-K518))</f>
        <v/>
      </c>
      <c r="P518" s="57">
        <f>IF(L518="","",L518-TODAY())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IF(K519="","",IF(M519="Concluída","",TODAY()-K519))</f>
        <v/>
      </c>
      <c r="P519" s="57">
        <f>IF(L519="","",L519-TODAY())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IF(K520="","",IF(M520="Concluída","",TODAY()-K520))</f>
        <v/>
      </c>
      <c r="P520" s="57">
        <f>IF(L520="","",L520-TODAY())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IF(K521="","",IF(M521="Concluída","",TODAY()-K521))</f>
        <v/>
      </c>
      <c r="P521" s="57">
        <f>IF(L521="","",L521-TODAY())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IF(K522="","",IF(M522="Concluída","",TODAY()-K522))</f>
        <v/>
      </c>
      <c r="P522" s="57">
        <f>IF(L522="","",L522-TODAY())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IF(K523="","",IF(M523="Concluída","",TODAY()-K523))</f>
        <v/>
      </c>
      <c r="P523" s="57">
        <f>IF(L523="","",L523-TODAY())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IF(K524="","",IF(M524="Concluída","",TODAY()-K524))</f>
        <v/>
      </c>
      <c r="P524" s="57">
        <f>IF(L524="","",L524-TODAY())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IF(K525="","",IF(M525="Concluída","",TODAY()-K525))</f>
        <v/>
      </c>
      <c r="P525" s="57">
        <f>IF(L525="","",L525-TODAY())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IF(K526="","",IF(M526="Concluída","",TODAY()-K526))</f>
        <v/>
      </c>
      <c r="P526" s="57">
        <f>IF(L526="","",L526-TODAY())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IF(K527="","",IF(M527="Concluída","",TODAY()-K527))</f>
        <v/>
      </c>
      <c r="P527" s="57">
        <f>IF(L527="","",L527-TODAY())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IF(K528="","",IF(M528="Concluída","",TODAY()-K528))</f>
        <v/>
      </c>
      <c r="P528" s="57">
        <f>IF(L528="","",L528-TODAY())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IF(K529="","",IF(M529="Concluída","",TODAY()-K529))</f>
        <v/>
      </c>
      <c r="P529" s="57">
        <f>IF(L529="","",L529-TODAY())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IF(K530="","",IF(M530="Concluída","",TODAY()-K530))</f>
        <v/>
      </c>
      <c r="P530" s="57">
        <f>IF(L530="","",L530-TODAY())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IF(K531="","",IF(M531="Concluída","",TODAY()-K531))</f>
        <v/>
      </c>
      <c r="P531" s="57">
        <f>IF(L531="","",L531-TODAY())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IF(K532="","",IF(M532="Concluída","",TODAY()-K532))</f>
        <v/>
      </c>
      <c r="P532" s="57">
        <f>IF(L532="","",L532-TODAY())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IF(K533="","",IF(M533="Concluída","",TODAY()-K533))</f>
        <v/>
      </c>
      <c r="P533" s="57">
        <f>IF(L533="","",L533-TODAY())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IF(K534="","",IF(M534="Concluída","",TODAY()-K534))</f>
        <v/>
      </c>
      <c r="P534" s="57">
        <f>IF(L534="","",L534-TODAY())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IF(K535="","",IF(M535="Concluída","",TODAY()-K535))</f>
        <v/>
      </c>
      <c r="P535" s="57">
        <f>IF(L535="","",L535-TODAY())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IF(K536="","",IF(M536="Concluída","",TODAY()-K536))</f>
        <v/>
      </c>
      <c r="P536" s="57">
        <f>IF(L536="","",L536-TODAY())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IF(K537="","",IF(M537="Concluída","",TODAY()-K537))</f>
        <v/>
      </c>
      <c r="P537" s="57">
        <f>IF(L537="","",L537-TODAY())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IF(K538="","",IF(M538="Concluída","",TODAY()-K538))</f>
        <v/>
      </c>
      <c r="P538" s="57">
        <f>IF(L538="","",L538-TODAY())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IF(K539="","",IF(M539="Concluída","",TODAY()-K539))</f>
        <v/>
      </c>
      <c r="P539" s="57">
        <f>IF(L539="","",L539-TODAY())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IF(K540="","",IF(M540="Concluída","",TODAY()-K540))</f>
        <v/>
      </c>
      <c r="P540" s="57">
        <f>IF(L540="","",L540-TODAY())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IF(K541="","",IF(M541="Concluída","",TODAY()-K541))</f>
        <v/>
      </c>
      <c r="P541" s="57">
        <f>IF(L541="","",L541-TODAY())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IF(K542="","",IF(M542="Concluída","",TODAY()-K542))</f>
        <v/>
      </c>
      <c r="P542" s="57">
        <f>IF(L542="","",L542-TODAY())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IF(K543="","",IF(M543="Concluída","",TODAY()-K543))</f>
        <v/>
      </c>
      <c r="P543" s="57">
        <f>IF(L543="","",L543-TODAY())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IF(K544="","",IF(M544="Concluída","",TODAY()-K544))</f>
        <v/>
      </c>
      <c r="P544" s="57">
        <f>IF(L544="","",L544-TODAY())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IF(K545="","",IF(M545="Concluída","",TODAY()-K545))</f>
        <v/>
      </c>
      <c r="P545" s="57">
        <f>IF(L545="","",L545-TODAY())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IF(K546="","",IF(M546="Concluída","",TODAY()-K546))</f>
        <v/>
      </c>
      <c r="P546" s="57">
        <f>IF(L546="","",L546-TODAY())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IF(K547="","",IF(M547="Concluída","",TODAY()-K547))</f>
        <v/>
      </c>
      <c r="P547" s="57">
        <f>IF(L547="","",L547-TODAY())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IF(K548="","",IF(M548="Concluída","",TODAY()-K548))</f>
        <v/>
      </c>
      <c r="P548" s="57">
        <f>IF(L548="","",L548-TODAY())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IF(K549="","",IF(M549="Concluída","",TODAY()-K549))</f>
        <v/>
      </c>
      <c r="P549" s="57">
        <f>IF(L549="","",L549-TODAY())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IF(K550="","",IF(M550="Concluída","",TODAY()-K550))</f>
        <v/>
      </c>
      <c r="P550" s="57">
        <f>IF(L550="","",L550-TODAY())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IF(K551="","",IF(M551="Concluída","",TODAY()-K551))</f>
        <v/>
      </c>
      <c r="P551" s="57">
        <f>IF(L551="","",L551-TODAY())</f>
        <v/>
      </c>
      <c r="Q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8" t="n"/>
      <c r="L552" s="58" t="n"/>
      <c r="M552" s="57" t="n"/>
      <c r="N552" s="57" t="n"/>
      <c r="O552" s="57">
        <f>IF(K552="","",IF(M552="Concluída","",TODAY()-K552))</f>
        <v/>
      </c>
      <c r="P552" s="57">
        <f>IF(L552="","",L552-TODAY())</f>
        <v/>
      </c>
      <c r="Q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8" t="n"/>
      <c r="L553" s="58" t="n"/>
      <c r="M553" s="57" t="n"/>
      <c r="N553" s="57" t="n"/>
      <c r="O553" s="57">
        <f>IF(K553="","",IF(M553="Concluída","",TODAY()-K553))</f>
        <v/>
      </c>
      <c r="P553" s="57">
        <f>IF(L553="","",L553-TODAY())</f>
        <v/>
      </c>
      <c r="Q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8" t="n"/>
      <c r="L554" s="58" t="n"/>
      <c r="M554" s="57" t="n"/>
      <c r="N554" s="57" t="n"/>
      <c r="O554" s="57">
        <f>IF(K554="","",IF(M554="Concluída","",TODAY()-K554))</f>
        <v/>
      </c>
      <c r="P554" s="57">
        <f>IF(L554="","",L554-TODAY())</f>
        <v/>
      </c>
      <c r="Q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8" t="n"/>
      <c r="L555" s="58" t="n"/>
      <c r="M555" s="57" t="n"/>
      <c r="N555" s="57" t="n"/>
      <c r="O555" s="57">
        <f>IF(K555="","",IF(M555="Concluída","",TODAY()-K555))</f>
        <v/>
      </c>
      <c r="P555" s="57">
        <f>IF(L555="","",L555-TODAY())</f>
        <v/>
      </c>
      <c r="Q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8" t="n"/>
      <c r="L556" s="58" t="n"/>
      <c r="M556" s="57" t="n"/>
      <c r="N556" s="57" t="n"/>
      <c r="O556" s="57">
        <f>IF(K556="","",IF(M556="Concluída","",TODAY()-K556))</f>
        <v/>
      </c>
      <c r="P556" s="57">
        <f>IF(L556="","",L556-TODAY())</f>
        <v/>
      </c>
      <c r="Q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8" t="n"/>
      <c r="L557" s="58" t="n"/>
      <c r="M557" s="57" t="n"/>
      <c r="N557" s="57" t="n"/>
      <c r="O557" s="57">
        <f>IF(K557="","",IF(M557="Concluída","",TODAY()-K557))</f>
        <v/>
      </c>
      <c r="P557" s="57">
        <f>IF(L557="","",L557-TODAY())</f>
        <v/>
      </c>
      <c r="Q557" s="57" t="n"/>
    </row>
  </sheetData>
  <mergeCells count="2">
    <mergeCell ref="A1:Q1"/>
    <mergeCell ref="A5:Q5"/>
  </mergeCells>
  <conditionalFormatting sqref="M7:M557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7">
    <cfRule type="expression" priority="4" dxfId="1">
      <formula>N7="Alta"</formula>
    </cfRule>
  </conditionalFormatting>
  <conditionalFormatting sqref="P7:P557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2026-09-14T13:11:20Z</dcterms:modified>
  <cp:lastModifiedBy>Gustavo da Silva Ferreira</cp:lastModifiedBy>
</cp:coreProperties>
</file>