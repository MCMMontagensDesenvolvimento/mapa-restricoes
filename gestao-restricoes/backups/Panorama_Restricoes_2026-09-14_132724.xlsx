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54" headerRowCount="1" totalsRowShown="0" headerRowDxfId="24" dataDxfId="23">
  <autoFilter ref="A6:Q557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4"/>
  <sheetViews>
    <sheetView tabSelected="1" topLeftCell="A126" zoomScale="80" zoomScaleNormal="80" workbookViewId="0">
      <selection activeCell="A7" sqref="A7:A130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18"/>
    <col width="8.796875" customWidth="1" style="60" min="19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COUNTIF(M7:M557,"Aberta")</f>
        <v/>
      </c>
      <c r="B3" s="55" t="n"/>
      <c r="C3" s="55">
        <f>COUNTIF(M7:M557,"Em Tratamento")</f>
        <v/>
      </c>
      <c r="D3" s="55" t="n"/>
      <c r="E3" s="55">
        <f>COUNTIFS(M7:M557,"&lt;&gt;Concluída",L7:L557,"&lt;"&amp;TODAY(),L7:L557,"&lt;&gt;")</f>
        <v/>
      </c>
      <c r="F3" s="55" t="n"/>
      <c r="G3" s="55">
        <f>COUNTIF(M7:M557,"Concluída")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n">
        <v>1</v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46279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n">
        <v>2</v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46279</v>
      </c>
      <c r="M8" s="57" t="inlineStr">
        <is>
          <t>Aberta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n">
        <v>3</v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Aberta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n">
        <v>4</v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Aberta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n">
        <v>5</v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46279</v>
      </c>
      <c r="M11" s="57" t="inlineStr">
        <is>
          <t>Aberta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n">
        <v>6</v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Aberta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n">
        <v>7</v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46286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n">
        <v>8</v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46286</v>
      </c>
      <c r="M14" s="57" t="inlineStr">
        <is>
          <t>Aberta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n">
        <v>9</v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Aberta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n">
        <v>10</v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Aberta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n">
        <v>11</v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46279</v>
      </c>
      <c r="M17" s="57" t="inlineStr">
        <is>
          <t>Aberta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n">
        <v>12</v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Aberta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n">
        <v>13</v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Nádia</t>
        </is>
      </c>
      <c r="J19" s="57" t="inlineStr">
        <is>
          <t>MCM</t>
        </is>
      </c>
      <c r="K19" s="58" t="n">
        <v>46277</v>
      </c>
      <c r="L19" s="58" t="n">
        <v>46279</v>
      </c>
      <c r="M19" s="57" t="inlineStr">
        <is>
          <t>Aberta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n">
        <v>14</v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46279</v>
      </c>
      <c r="M20" s="57" t="inlineStr">
        <is>
          <t>Aberta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n">
        <v>15</v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46279</v>
      </c>
      <c r="M21" s="57" t="inlineStr">
        <is>
          <t>Aberta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n">
        <v>16</v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Aberta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n">
        <v>17</v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46279</v>
      </c>
      <c r="M23" s="57" t="inlineStr">
        <is>
          <t>Aberta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n">
        <v>18</v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46279</v>
      </c>
      <c r="M24" s="57" t="inlineStr">
        <is>
          <t>Aberta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n">
        <v>19</v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46286</v>
      </c>
      <c r="M25" s="57" t="inlineStr">
        <is>
          <t>Aberta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n">
        <v>20</v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46281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n">
        <v>21</v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Aberta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n">
        <v>22</v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Aberta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n">
        <v>23</v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Aberta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n">
        <v>24</v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46296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n">
        <v>25</v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n">
        <v>26</v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n">
        <v>27</v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n">
        <v>28</v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n">
        <v>29</v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46279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n">
        <v>30</v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n">
        <v>31</v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46296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n">
        <v>32</v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46283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n">
        <v>33</v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46283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n">
        <v>34</v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n">
        <v>35</v>
      </c>
      <c r="B41" s="57" t="inlineStr">
        <is>
          <t>PLANTA DE CAL</t>
        </is>
      </c>
      <c r="C41" s="57" t="n"/>
      <c r="D41" s="57" t="n"/>
      <c r="E41" s="57" t="inlineStr">
        <is>
          <t>Montagem da Treliça (TR-05) - Travessia de Veículo Planta de Cal</t>
        </is>
      </c>
      <c r="F41" s="57" t="inlineStr">
        <is>
          <t>Isolamento/Barreira Física</t>
        </is>
      </c>
      <c r="G41" s="57" t="inlineStr">
        <is>
          <t>Segurança / SMS</t>
        </is>
      </c>
      <c r="H41" s="57" t="inlineStr">
        <is>
          <t>Verificar procedimentos de segurança para execução de atividades de corte/solda, concretagem e atividades diversas na área da planta de cal</t>
        </is>
      </c>
      <c r="I41" s="57" t="inlineStr">
        <is>
          <t>Tatiane</t>
        </is>
      </c>
      <c r="J41" s="57" t="inlineStr">
        <is>
          <t>MCM</t>
        </is>
      </c>
      <c r="K41" s="58" t="n">
        <v>46277</v>
      </c>
      <c r="L41" s="58" t="n">
        <v>46283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n">
        <v>36</v>
      </c>
      <c r="B42" s="57" t="inlineStr">
        <is>
          <t>PLANTA DE CAL</t>
        </is>
      </c>
      <c r="C42" s="57" t="n"/>
      <c r="D42" s="57" t="n"/>
      <c r="E42" s="57" t="inlineStr">
        <is>
          <t>Montagem da Treliça (TR-05) - Travessia de Veículo Planta de Cal</t>
        </is>
      </c>
      <c r="F42" s="57" t="inlineStr">
        <is>
          <t>Documentações de segurança (AST/PETAR)</t>
        </is>
      </c>
      <c r="G42" s="57" t="inlineStr">
        <is>
          <t>Segurança / SMS</t>
        </is>
      </c>
      <c r="H42" s="57" t="inlineStr">
        <is>
          <t>Elaborar documentações necessárias</t>
        </is>
      </c>
      <c r="I42" s="57" t="inlineStr">
        <is>
          <t>Tatiane</t>
        </is>
      </c>
      <c r="J42" s="57" t="inlineStr">
        <is>
          <t>MCM</t>
        </is>
      </c>
      <c r="K42" s="58" t="n">
        <v>46277</v>
      </c>
      <c r="L42" s="58" t="n">
        <v>46283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n">
        <v>37</v>
      </c>
      <c r="B43" s="57" t="inlineStr">
        <is>
          <t>PLANTA DE CAL</t>
        </is>
      </c>
      <c r="C43" s="57" t="n"/>
      <c r="D43" s="57" t="n"/>
      <c r="E43" s="57" t="inlineStr">
        <is>
          <t>Montagem da Treliça (TR-05) - Travessia de Veículo Planta de Cal</t>
        </is>
      </c>
      <c r="F43" s="57" t="inlineStr">
        <is>
          <t>Plano de escavação</t>
        </is>
      </c>
      <c r="G43" s="57" t="inlineStr">
        <is>
          <t>Projeto / Engenharia</t>
        </is>
      </c>
      <c r="H43" s="57" t="inlineStr">
        <is>
          <t>Elaborar plano de escavação</t>
        </is>
      </c>
      <c r="I43" s="57" t="inlineStr">
        <is>
          <t>Tiago</t>
        </is>
      </c>
      <c r="J43" s="57" t="inlineStr">
        <is>
          <t>MCM</t>
        </is>
      </c>
      <c r="K43" s="58" t="n">
        <v>46277</v>
      </c>
      <c r="L43" s="58" t="n">
        <v>46283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n">
        <v>38</v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Chumbadores</t>
        </is>
      </c>
      <c r="G44" s="57" t="inlineStr">
        <is>
          <t>Suprimentos</t>
        </is>
      </c>
      <c r="H44" s="57" t="inlineStr">
        <is>
          <t>Garantir que o material chegue na data necessária</t>
        </is>
      </c>
      <c r="I44" s="57" t="inlineStr">
        <is>
          <t>Rubens</t>
        </is>
      </c>
      <c r="J44" s="57" t="inlineStr">
        <is>
          <t>MCM</t>
        </is>
      </c>
      <c r="K44" s="58" t="n">
        <v>46277</v>
      </c>
      <c r="L44" s="58" t="n">
        <v>46310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n">
        <v>39</v>
      </c>
      <c r="B45" s="57" t="inlineStr">
        <is>
          <t>PORTARIA</t>
        </is>
      </c>
      <c r="C45" s="57" t="n"/>
      <c r="D45" s="57" t="n"/>
      <c r="E45" s="57" t="inlineStr">
        <is>
          <t>Montagem da Treliça 40.000mm (TR-01) - Travessia de veiculos da Portaria'</t>
        </is>
      </c>
      <c r="F45" s="57" t="inlineStr">
        <is>
          <t>Isolamento/Barreira Física</t>
        </is>
      </c>
      <c r="G45" s="57" t="inlineStr">
        <is>
          <t>Segurança / SMS</t>
        </is>
      </c>
      <c r="H45" s="57" t="inlineStr">
        <is>
          <t>Verificar procedimentos de segurança para execução de atividades de corte/solda, concretagem e atividades diversas na área da planta de cal</t>
        </is>
      </c>
      <c r="I45" s="57" t="inlineStr">
        <is>
          <t>Tatiane</t>
        </is>
      </c>
      <c r="J45" s="57" t="inlineStr">
        <is>
          <t>MCM</t>
        </is>
      </c>
      <c r="K45" s="58" t="n">
        <v>46277</v>
      </c>
      <c r="L45" s="58" t="n">
        <v>46283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n">
        <v>40</v>
      </c>
      <c r="B46" s="57" t="inlineStr">
        <is>
          <t>PORTARIA</t>
        </is>
      </c>
      <c r="C46" s="57" t="n"/>
      <c r="D46" s="57" t="n"/>
      <c r="E46" s="57" t="inlineStr">
        <is>
          <t>Montagem da Treliça 40.000mm (TR-01) - Travessia de veiculos da Portaria'</t>
        </is>
      </c>
      <c r="F46" s="57" t="inlineStr">
        <is>
          <t>Documentações de segurança (AST/PETAR)</t>
        </is>
      </c>
      <c r="G46" s="57" t="inlineStr">
        <is>
          <t>Segurança / SMS</t>
        </is>
      </c>
      <c r="H46" s="57" t="inlineStr">
        <is>
          <t>Elaborar documentações necessárias</t>
        </is>
      </c>
      <c r="I46" s="57" t="inlineStr">
        <is>
          <t>Tatiane</t>
        </is>
      </c>
      <c r="J46" s="57" t="inlineStr">
        <is>
          <t>MCM</t>
        </is>
      </c>
      <c r="K46" s="58" t="n">
        <v>46277</v>
      </c>
      <c r="L46" s="58" t="n">
        <v>46283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n">
        <v>41</v>
      </c>
      <c r="B47" s="57" t="inlineStr">
        <is>
          <t>PORTARIA</t>
        </is>
      </c>
      <c r="C47" s="57" t="n"/>
      <c r="D47" s="57" t="n"/>
      <c r="E47" s="57" t="inlineStr">
        <is>
          <t>Montagem da Treliça 40.000mm (TR-01) - Travessia de veiculos da Portaria'</t>
        </is>
      </c>
      <c r="F47" s="57" t="inlineStr">
        <is>
          <t>Plano de escavação</t>
        </is>
      </c>
      <c r="G47" s="57" t="inlineStr">
        <is>
          <t>Projeto / Engenharia</t>
        </is>
      </c>
      <c r="H47" s="57" t="inlineStr">
        <is>
          <t>Elaborar plano de escavação</t>
        </is>
      </c>
      <c r="I47" s="57" t="inlineStr">
        <is>
          <t>Tiago</t>
        </is>
      </c>
      <c r="J47" s="57" t="inlineStr">
        <is>
          <t>MCM</t>
        </is>
      </c>
      <c r="K47" s="58" t="n">
        <v>46277</v>
      </c>
      <c r="L47" s="58" t="n">
        <v>46283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n">
        <v>42</v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Material (Aço reto)</t>
        </is>
      </c>
      <c r="G48" s="57" t="inlineStr">
        <is>
          <t>Suprimentos</t>
        </is>
      </c>
      <c r="H48" s="57" t="inlineStr">
        <is>
          <t>Garantir que o material chegue na data necessária</t>
        </is>
      </c>
      <c r="I48" s="57" t="inlineStr">
        <is>
          <t>Rubens</t>
        </is>
      </c>
      <c r="J48" s="57" t="inlineStr">
        <is>
          <t>MCM</t>
        </is>
      </c>
      <c r="K48" s="58" t="n">
        <v>46277</v>
      </c>
      <c r="L48" s="58" t="n">
        <v>46315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n">
        <v>43</v>
      </c>
      <c r="B49" s="57" t="inlineStr">
        <is>
          <t>PLANTA DE CAL</t>
        </is>
      </c>
      <c r="C49" s="57" t="n"/>
      <c r="D49" s="57" t="n"/>
      <c r="E49" s="57" t="inlineStr">
        <is>
          <t>Bases civis dos suportes (141x)</t>
        </is>
      </c>
      <c r="F49" s="57" t="inlineStr">
        <is>
          <t>Isolamento/Barreira Física</t>
        </is>
      </c>
      <c r="G49" s="57" t="inlineStr">
        <is>
          <t>Segurança / SMS</t>
        </is>
      </c>
      <c r="H49" s="57" t="inlineStr">
        <is>
          <t>Verificar procedimentos de segurança para execução de atividades de corte/solda, concretagem e atividades diversas na área da planta de cal</t>
        </is>
      </c>
      <c r="I49" s="57" t="inlineStr">
        <is>
          <t>Tatiane</t>
        </is>
      </c>
      <c r="J49" s="57" t="inlineStr">
        <is>
          <t>MCM</t>
        </is>
      </c>
      <c r="K49" s="58" t="n">
        <v>46277</v>
      </c>
      <c r="L49" s="58" t="n">
        <v>46283</v>
      </c>
      <c r="M49" s="57" t="inlineStr">
        <is>
          <t>Aberta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Impedimento das atividades</t>
        </is>
      </c>
    </row>
    <row r="50" ht="30" customHeight="1">
      <c r="A50" s="57" t="n">
        <v>44</v>
      </c>
      <c r="B50" s="57" t="inlineStr">
        <is>
          <t>PLANTA DE CAL</t>
        </is>
      </c>
      <c r="C50" s="57" t="n"/>
      <c r="D50" s="57" t="n"/>
      <c r="E50" s="57" t="inlineStr">
        <is>
          <t>Bases civis dos suportes (141x)</t>
        </is>
      </c>
      <c r="F50" s="57" t="inlineStr">
        <is>
          <t>Documentações de segurança (AST/PETAR)</t>
        </is>
      </c>
      <c r="G50" s="57" t="inlineStr">
        <is>
          <t>Segurança / SMS</t>
        </is>
      </c>
      <c r="H50" s="57" t="inlineStr">
        <is>
          <t>Elaborar documentações necessárias</t>
        </is>
      </c>
      <c r="I50" s="57" t="inlineStr">
        <is>
          <t>Tatiane</t>
        </is>
      </c>
      <c r="J50" s="57" t="inlineStr">
        <is>
          <t>MCM</t>
        </is>
      </c>
      <c r="K50" s="58" t="n">
        <v>46277</v>
      </c>
      <c r="L50" s="58" t="n">
        <v>46283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n">
        <v>45</v>
      </c>
      <c r="B51" s="57" t="inlineStr">
        <is>
          <t>PLANTA DE CAL</t>
        </is>
      </c>
      <c r="C51" s="57" t="n"/>
      <c r="D51" s="57" t="n"/>
      <c r="E51" s="57" t="inlineStr">
        <is>
          <t>Bases civis dos suportes (141x)</t>
        </is>
      </c>
      <c r="F51" s="57" t="inlineStr">
        <is>
          <t>Plano de escavação</t>
        </is>
      </c>
      <c r="G51" s="57" t="inlineStr">
        <is>
          <t>Projeto / Engenharia</t>
        </is>
      </c>
      <c r="H51" s="57" t="inlineStr">
        <is>
          <t>Elaborar plano de escavação</t>
        </is>
      </c>
      <c r="I51" s="57" t="inlineStr">
        <is>
          <t>Tiago</t>
        </is>
      </c>
      <c r="J51" s="57" t="inlineStr">
        <is>
          <t>MCM</t>
        </is>
      </c>
      <c r="K51" s="58" t="n">
        <v>46277</v>
      </c>
      <c r="L51" s="58" t="n">
        <v>46283</v>
      </c>
      <c r="M51" s="57" t="inlineStr">
        <is>
          <t>Aberta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Impedimento das atividades</t>
        </is>
      </c>
    </row>
    <row r="52" ht="30" customHeight="1">
      <c r="A52" s="57" t="n">
        <v>46</v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Chumbadores</t>
        </is>
      </c>
      <c r="G52" s="57" t="inlineStr">
        <is>
          <t>Suprimentos</t>
        </is>
      </c>
      <c r="H52" s="57" t="inlineStr">
        <is>
          <t>Garantir que o material chegue na data necessária</t>
        </is>
      </c>
      <c r="I52" s="57" t="inlineStr">
        <is>
          <t>Rubens</t>
        </is>
      </c>
      <c r="J52" s="57" t="inlineStr">
        <is>
          <t>MCM</t>
        </is>
      </c>
      <c r="K52" s="58" t="n">
        <v>46277</v>
      </c>
      <c r="L52" s="58" t="n">
        <v>46315</v>
      </c>
      <c r="M52" s="57" t="inlineStr">
        <is>
          <t>Aberta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n">
        <v>47</v>
      </c>
      <c r="B53" s="57" t="inlineStr">
        <is>
          <t>PORTARIA</t>
        </is>
      </c>
      <c r="C53" s="57" t="n"/>
      <c r="D53" s="57" t="n"/>
      <c r="E53" s="57" t="inlineStr">
        <is>
          <t>Montagem da Treliça (TR-02)</t>
        </is>
      </c>
      <c r="F53" s="57" t="inlineStr">
        <is>
          <t>Isolamento/Barreira Física</t>
        </is>
      </c>
      <c r="G53" s="57" t="inlineStr">
        <is>
          <t>Segurança / SMS</t>
        </is>
      </c>
      <c r="H53" s="57" t="inlineStr">
        <is>
          <t>Verificar procedimentos de segurança para execução de atividades de corte/solda, concretagem e atividades diversas na área da planta de cal</t>
        </is>
      </c>
      <c r="I53" s="57" t="inlineStr">
        <is>
          <t>Tatiane</t>
        </is>
      </c>
      <c r="J53" s="57" t="inlineStr">
        <is>
          <t>MCM</t>
        </is>
      </c>
      <c r="K53" s="58" t="n">
        <v>46277</v>
      </c>
      <c r="L53" s="58" t="n">
        <v>46283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n">
        <v>48</v>
      </c>
      <c r="B54" s="57" t="inlineStr">
        <is>
          <t>PORTARIA</t>
        </is>
      </c>
      <c r="C54" s="57" t="n"/>
      <c r="D54" s="57" t="n"/>
      <c r="E54" s="57" t="inlineStr">
        <is>
          <t>Montagem da Treliça (TR-02)</t>
        </is>
      </c>
      <c r="F54" s="57" t="inlineStr">
        <is>
          <t>Documentações de segurança (AST/PETAR)</t>
        </is>
      </c>
      <c r="G54" s="57" t="inlineStr">
        <is>
          <t>Segurança / SMS</t>
        </is>
      </c>
      <c r="H54" s="57" t="inlineStr">
        <is>
          <t>Elaborar documentações necessárias</t>
        </is>
      </c>
      <c r="I54" s="57" t="inlineStr">
        <is>
          <t>Tatiane</t>
        </is>
      </c>
      <c r="J54" s="57" t="inlineStr">
        <is>
          <t>MCM</t>
        </is>
      </c>
      <c r="K54" s="58" t="n">
        <v>46277</v>
      </c>
      <c r="L54" s="58" t="n">
        <v>46283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n">
        <v>49</v>
      </c>
      <c r="B55" s="57" t="inlineStr">
        <is>
          <t>PORTARIA</t>
        </is>
      </c>
      <c r="C55" s="57" t="n"/>
      <c r="D55" s="57" t="n"/>
      <c r="E55" s="57" t="inlineStr">
        <is>
          <t>Montagem da Treliça (TR-02)</t>
        </is>
      </c>
      <c r="F55" s="57" t="inlineStr">
        <is>
          <t>Plano de escavação</t>
        </is>
      </c>
      <c r="G55" s="57" t="inlineStr">
        <is>
          <t>Projeto / Engenharia</t>
        </is>
      </c>
      <c r="H55" s="57" t="inlineStr">
        <is>
          <t>Elaborar plano de escavação</t>
        </is>
      </c>
      <c r="I55" s="57" t="inlineStr">
        <is>
          <t>Tiago</t>
        </is>
      </c>
      <c r="J55" s="57" t="inlineStr">
        <is>
          <t>MCM</t>
        </is>
      </c>
      <c r="K55" s="58" t="n">
        <v>46277</v>
      </c>
      <c r="L55" s="58" t="n">
        <v>46283</v>
      </c>
      <c r="M55" s="57" t="inlineStr">
        <is>
          <t>Aberta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n">
        <v>50</v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Material (Aço reto)</t>
        </is>
      </c>
      <c r="G56" s="57" t="inlineStr">
        <is>
          <t>Materiais</t>
        </is>
      </c>
      <c r="H56" s="57" t="inlineStr">
        <is>
          <t>Garantir que o material chegue na data necessária</t>
        </is>
      </c>
      <c r="I56" s="57" t="inlineStr">
        <is>
          <t>Rubens</t>
        </is>
      </c>
      <c r="J56" s="57" t="inlineStr">
        <is>
          <t>MCM</t>
        </is>
      </c>
      <c r="K56" s="58" t="n">
        <v>46277</v>
      </c>
      <c r="L56" s="58" t="n">
        <v>46310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n">
        <v>51</v>
      </c>
      <c r="B57" s="57" t="inlineStr">
        <is>
          <t>ÁGUA DE SERVIÇO/LODO</t>
        </is>
      </c>
      <c r="C57" s="57" t="n"/>
      <c r="D57" s="57" t="inlineStr">
        <is>
          <t>CIVIL</t>
        </is>
      </c>
      <c r="E57" s="57" t="inlineStr">
        <is>
          <t>Bases civis dos suportes metálicos (51x)</t>
        </is>
      </c>
      <c r="F57" s="57" t="inlineStr">
        <is>
          <t>Documentações de segurança (AST/PETAR)</t>
        </is>
      </c>
      <c r="G57" s="57" t="inlineStr">
        <is>
          <t>Segurança / SMS</t>
        </is>
      </c>
      <c r="H57" s="57" t="inlineStr">
        <is>
          <t>Elaborar documentações necessárias</t>
        </is>
      </c>
      <c r="I57" s="57" t="inlineStr">
        <is>
          <t>Tatiane</t>
        </is>
      </c>
      <c r="J57" s="57" t="inlineStr">
        <is>
          <t>MCM</t>
        </is>
      </c>
      <c r="K57" s="58" t="n">
        <v>46277</v>
      </c>
      <c r="L57" s="58" t="n">
        <v>46283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n">
        <v>52</v>
      </c>
      <c r="B58" s="57" t="inlineStr">
        <is>
          <t>ÁGUA DE SERVIÇO/LODO</t>
        </is>
      </c>
      <c r="C58" s="57" t="n"/>
      <c r="D58" s="57" t="inlineStr">
        <is>
          <t>CIVIL</t>
        </is>
      </c>
      <c r="E58" s="57" t="inlineStr">
        <is>
          <t>Bases civis dos suportes metálicos (51x)</t>
        </is>
      </c>
      <c r="F58" s="57" t="inlineStr">
        <is>
          <t>Plano de escavação</t>
        </is>
      </c>
      <c r="G58" s="57" t="inlineStr">
        <is>
          <t>Projeto / Engenharia</t>
        </is>
      </c>
      <c r="H58" s="57" t="inlineStr">
        <is>
          <t>Elaborar plano de escavação</t>
        </is>
      </c>
      <c r="I58" s="57" t="inlineStr">
        <is>
          <t>Tiago</t>
        </is>
      </c>
      <c r="J58" s="57" t="inlineStr">
        <is>
          <t>MCM</t>
        </is>
      </c>
      <c r="K58" s="58" t="n">
        <v>46277</v>
      </c>
      <c r="L58" s="58" t="n">
        <v>46283</v>
      </c>
      <c r="M58" s="57" t="inlineStr">
        <is>
          <t>Aberta</t>
        </is>
      </c>
      <c r="N58" s="57" t="inlineStr">
        <is>
          <t>Média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n">
        <v>53</v>
      </c>
      <c r="B59" s="57" t="inlineStr">
        <is>
          <t>ÁGUA DE SERVIÇO/LODO</t>
        </is>
      </c>
      <c r="C59" s="57" t="n"/>
      <c r="D59" s="57" t="inlineStr">
        <is>
          <t>CIVIL</t>
        </is>
      </c>
      <c r="E59" s="57" t="inlineStr">
        <is>
          <t>Bases civis dos suportes metálicos (51x)</t>
        </is>
      </c>
      <c r="F59" s="57" t="inlineStr">
        <is>
          <t>Isolamento/Barreira Física</t>
        </is>
      </c>
      <c r="G59" s="57" t="inlineStr">
        <is>
          <t>Segurança / SMS</t>
        </is>
      </c>
      <c r="H59" s="57" t="inlineStr">
        <is>
          <t>Verificar procedimentos de segurança para execução de atividades de corte/solda, concretagem e atividades diversas na área da planta de cal</t>
        </is>
      </c>
      <c r="I59" s="57" t="inlineStr">
        <is>
          <t>Tatiane</t>
        </is>
      </c>
      <c r="J59" s="57" t="inlineStr">
        <is>
          <t>MCM</t>
        </is>
      </c>
      <c r="K59" s="58" t="n">
        <v>46277</v>
      </c>
      <c r="L59" s="58" t="n">
        <v>46283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n">
        <v>54</v>
      </c>
      <c r="B60" s="57" t="inlineStr">
        <is>
          <t>ELETROCENTRO</t>
        </is>
      </c>
      <c r="C60" s="57" t="n"/>
      <c r="D60" s="57" t="n"/>
      <c r="E60" s="57" t="inlineStr">
        <is>
          <t>Regularização Geral da Área Eletrocentro</t>
        </is>
      </c>
      <c r="F60" s="57" t="inlineStr">
        <is>
          <t>Projeto de locação topográfica</t>
        </is>
      </c>
      <c r="G60" s="57" t="inlineStr">
        <is>
          <t>Projeto / Engenharia</t>
        </is>
      </c>
      <c r="H60" s="57" t="inlineStr">
        <is>
          <t>Localizar projetos de locação topográfica (Analisar)</t>
        </is>
      </c>
      <c r="I60" s="57" t="inlineStr">
        <is>
          <t>Tiago</t>
        </is>
      </c>
      <c r="J60" s="57" t="inlineStr">
        <is>
          <t>MCM</t>
        </is>
      </c>
      <c r="K60" s="58" t="n">
        <v>46277</v>
      </c>
      <c r="L60" s="58" t="n">
        <v>46283</v>
      </c>
      <c r="M60" s="57" t="inlineStr">
        <is>
          <t>Aberta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n">
        <v>55</v>
      </c>
      <c r="B61" s="57" t="inlineStr">
        <is>
          <t>ELETROCENTRO</t>
        </is>
      </c>
      <c r="C61" s="57" t="n"/>
      <c r="D61" s="57" t="n"/>
      <c r="E61" s="57" t="inlineStr">
        <is>
          <t>Radiê do Eletrocentro</t>
        </is>
      </c>
      <c r="F61" s="57" t="inlineStr">
        <is>
          <t>Indefinição dos chumbadores</t>
        </is>
      </c>
      <c r="G61" s="57" t="inlineStr">
        <is>
          <t>Projeto / Engenharia</t>
        </is>
      </c>
      <c r="H61" s="57" t="inlineStr">
        <is>
          <t>Solicitar definição junto à Engenharia Nexa</t>
        </is>
      </c>
      <c r="I61" s="57" t="inlineStr">
        <is>
          <t>Sidney</t>
        </is>
      </c>
      <c r="J61" s="57" t="inlineStr">
        <is>
          <t>Nexa</t>
        </is>
      </c>
      <c r="K61" s="58" t="n">
        <v>46277</v>
      </c>
      <c r="L61" s="58" t="n">
        <v>46279</v>
      </c>
      <c r="M61" s="57" t="inlineStr">
        <is>
          <t>Aberta</t>
        </is>
      </c>
      <c r="N61" s="57" t="inlineStr">
        <is>
          <t>Alta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n">
        <v>56</v>
      </c>
      <c r="B62" s="57" t="inlineStr">
        <is>
          <t>ELETROCENTRO</t>
        </is>
      </c>
      <c r="C62" s="57" t="n"/>
      <c r="D62" s="57" t="inlineStr">
        <is>
          <t>CIVIL</t>
        </is>
      </c>
      <c r="E62" s="57" t="inlineStr">
        <is>
          <t>Radiê do Eletrocentro</t>
        </is>
      </c>
      <c r="F62" s="57" t="inlineStr">
        <is>
          <t>Material (Telas/Madeirites/Proteções de Vergalhões/Espaçadores/Juntas de dilatação)</t>
        </is>
      </c>
      <c r="G62" s="57" t="inlineStr">
        <is>
          <t>Materiais</t>
        </is>
      </c>
      <c r="H62" s="57" t="inlineStr">
        <is>
          <t>Garantir que o material chegue na data necessária</t>
        </is>
      </c>
      <c r="I62" s="57" t="inlineStr">
        <is>
          <t>Rubens</t>
        </is>
      </c>
      <c r="J62" s="57" t="inlineStr">
        <is>
          <t>MCM</t>
        </is>
      </c>
      <c r="K62" s="58" t="n">
        <v>46277</v>
      </c>
      <c r="L62" s="58" t="n">
        <v>46310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n">
        <v>57</v>
      </c>
      <c r="B63" s="57" t="inlineStr">
        <is>
          <t>ELETROCENTRO</t>
        </is>
      </c>
      <c r="C63" s="57" t="n"/>
      <c r="D63" s="57" t="n"/>
      <c r="E63" s="57" t="inlineStr">
        <is>
          <t>Radiê do Eletrocentro</t>
        </is>
      </c>
      <c r="F63" s="57" t="inlineStr">
        <is>
          <t>Plano de escavação</t>
        </is>
      </c>
      <c r="G63" s="57" t="inlineStr">
        <is>
          <t>Projeto / Engenharia</t>
        </is>
      </c>
      <c r="H63" s="57" t="inlineStr">
        <is>
          <t>Elaborar plano de escavação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46283</v>
      </c>
      <c r="M63" s="57" t="inlineStr">
        <is>
          <t>Aberta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n">
        <v>58</v>
      </c>
      <c r="B64" s="57" t="inlineStr">
        <is>
          <t>ELETROCENTRO</t>
        </is>
      </c>
      <c r="C64" s="57" t="n"/>
      <c r="D64" s="57" t="n"/>
      <c r="E64" s="57" t="inlineStr">
        <is>
          <t>Radiê do Eletrocentro</t>
        </is>
      </c>
      <c r="F64" s="57" t="inlineStr">
        <is>
          <t>Liberação de área</t>
        </is>
      </c>
      <c r="G64" s="57" t="inlineStr">
        <is>
          <t>Liberação de Área</t>
        </is>
      </c>
      <c r="H64" s="57" t="inlineStr">
        <is>
          <t>Verificar data de liberação do platô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46283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n">
        <v>59</v>
      </c>
      <c r="B65" s="57" t="inlineStr">
        <is>
          <t>SUMP</t>
        </is>
      </c>
      <c r="C65" s="57" t="n"/>
      <c r="D65" s="57" t="n"/>
      <c r="E65" s="57" t="inlineStr">
        <is>
          <t>Rede Elétrica: Envelopamento e Caixas de Passagem</t>
        </is>
      </c>
      <c r="F65" s="57" t="inlineStr">
        <is>
          <t>Avaliar projetos</t>
        </is>
      </c>
      <c r="G65" s="57" t="inlineStr">
        <is>
          <t>Projeto / Engenharia</t>
        </is>
      </c>
      <c r="H65" s="57" t="inlineStr">
        <is>
          <t>Avaliar projetos e identificar restrições</t>
        </is>
      </c>
      <c r="I65" s="57" t="inlineStr">
        <is>
          <t>Tiago</t>
        </is>
      </c>
      <c r="J65" s="57" t="inlineStr">
        <is>
          <t>MCM</t>
        </is>
      </c>
      <c r="K65" s="58" t="n">
        <v>46277</v>
      </c>
      <c r="L65" s="58" t="n">
        <v>46283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n">
        <v>60</v>
      </c>
      <c r="B66" s="57" t="inlineStr">
        <is>
          <t>SUMP</t>
        </is>
      </c>
      <c r="C66" s="57" t="n"/>
      <c r="D66" s="57" t="n"/>
      <c r="E66" s="57" t="inlineStr">
        <is>
          <t>Bases civis dos suportes de Ancoragem (2X)</t>
        </is>
      </c>
      <c r="F66" s="57" t="inlineStr">
        <is>
          <t>Plano de escavação</t>
        </is>
      </c>
      <c r="G66" s="57" t="inlineStr">
        <is>
          <t>Projeto / Engenharia</t>
        </is>
      </c>
      <c r="H66" s="57" t="inlineStr">
        <is>
          <t>Verificar a necessidade de plano de escavação</t>
        </is>
      </c>
      <c r="I66" s="57" t="inlineStr">
        <is>
          <t>Tiago</t>
        </is>
      </c>
      <c r="J66" s="57" t="inlineStr">
        <is>
          <t>MCM</t>
        </is>
      </c>
      <c r="K66" s="58" t="n">
        <v>46277</v>
      </c>
      <c r="L66" s="58" t="n">
        <v>46283</v>
      </c>
      <c r="M66" s="57" t="inlineStr">
        <is>
          <t>Aberta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n">
        <v>61</v>
      </c>
      <c r="B67" s="57" t="inlineStr">
        <is>
          <t>SUMP</t>
        </is>
      </c>
      <c r="C67" s="57" t="n"/>
      <c r="D67" s="57" t="n"/>
      <c r="E67" s="57" t="inlineStr">
        <is>
          <t>Bases civis dos suportes de Ancoragem (2X)</t>
        </is>
      </c>
      <c r="F67" s="57" t="inlineStr">
        <is>
          <t>Material (aço reto/madeirite)</t>
        </is>
      </c>
      <c r="G67" s="57" t="inlineStr">
        <is>
          <t>Materiais</t>
        </is>
      </c>
      <c r="H67" s="57" t="inlineStr">
        <is>
          <t>Verificar material disponível</t>
        </is>
      </c>
      <c r="I67" s="57" t="inlineStr">
        <is>
          <t>Tiago</t>
        </is>
      </c>
      <c r="J67" s="57" t="inlineStr">
        <is>
          <t>MCM</t>
        </is>
      </c>
      <c r="K67" s="58" t="n">
        <v>46277</v>
      </c>
      <c r="L67" s="58" t="n">
        <v>46283</v>
      </c>
      <c r="M67" s="57" t="inlineStr">
        <is>
          <t>Aberta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n">
        <v>62</v>
      </c>
      <c r="B68" s="57" t="inlineStr">
        <is>
          <t>SUMP</t>
        </is>
      </c>
      <c r="C68" s="57" t="n"/>
      <c r="D68" s="57" t="n"/>
      <c r="E68" s="57" t="inlineStr">
        <is>
          <t>Bases civis dos suportes de Ancoragem (2X)</t>
        </is>
      </c>
      <c r="F68" s="57" t="inlineStr">
        <is>
          <t>Liberação de área</t>
        </is>
      </c>
      <c r="G68" s="57" t="inlineStr">
        <is>
          <t>Liberação de Área</t>
        </is>
      </c>
      <c r="H68" s="57" t="inlineStr">
        <is>
          <t>Verificar liberação de área/procedimentos de trabalho</t>
        </is>
      </c>
      <c r="I68" s="57" t="inlineStr">
        <is>
          <t>Tatiane</t>
        </is>
      </c>
      <c r="J68" s="57" t="inlineStr">
        <is>
          <t>MCM</t>
        </is>
      </c>
      <c r="K68" s="58" t="n">
        <v>46277</v>
      </c>
      <c r="L68" s="58" t="n">
        <v>46283</v>
      </c>
      <c r="M68" s="57" t="inlineStr">
        <is>
          <t>Aberta</t>
        </is>
      </c>
      <c r="N68" s="57" t="inlineStr">
        <is>
          <t>Média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n">
        <v>63</v>
      </c>
      <c r="B69" s="57" t="inlineStr">
        <is>
          <t>ETEI</t>
        </is>
      </c>
      <c r="C69" s="57" t="n"/>
      <c r="D69" s="57" t="inlineStr">
        <is>
          <t>ELÉTRICA</t>
        </is>
      </c>
      <c r="E69" s="57" t="inlineStr">
        <is>
          <t>Montagem dos Tanques</t>
        </is>
      </c>
      <c r="F69" s="57" t="inlineStr">
        <is>
          <t>Aterramento dos Tanques</t>
        </is>
      </c>
      <c r="G69" s="57" t="inlineStr">
        <is>
          <t>Projeto / Engenharia</t>
        </is>
      </c>
      <c r="H69" s="57" t="inlineStr">
        <is>
          <t>Checagem dos projetos de aterramentos de todos os tanques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46279</v>
      </c>
      <c r="M69" s="57" t="inlineStr">
        <is>
          <t>Aberta</t>
        </is>
      </c>
      <c r="N69" s="57" t="inlineStr">
        <is>
          <t>Média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n">
        <v>64</v>
      </c>
      <c r="B70" s="57" t="inlineStr">
        <is>
          <t>GERAL</t>
        </is>
      </c>
      <c r="C70" s="57" t="n"/>
      <c r="D70" s="57" t="inlineStr">
        <is>
          <t>MECÂNICA</t>
        </is>
      </c>
      <c r="E70" s="57" t="inlineStr">
        <is>
          <t>Geral</t>
        </is>
      </c>
      <c r="F70" s="57" t="inlineStr">
        <is>
          <t>Transporte e Movimentações de carga</t>
        </is>
      </c>
      <c r="G70" s="57" t="inlineStr">
        <is>
          <t>Segurança / SMS</t>
        </is>
      </c>
      <c r="H70" s="57" t="inlineStr">
        <is>
          <t>Rotograma para atividades</t>
        </is>
      </c>
      <c r="I70" s="57" t="inlineStr">
        <is>
          <t>Sidney</t>
        </is>
      </c>
      <c r="J70" s="57" t="inlineStr">
        <is>
          <t>MCM</t>
        </is>
      </c>
      <c r="K70" s="58" t="n">
        <v>46277</v>
      </c>
      <c r="L70" s="58" t="n">
        <v>46279</v>
      </c>
      <c r="M70" s="57" t="inlineStr">
        <is>
          <t>Aberta</t>
        </is>
      </c>
      <c r="N70" s="57" t="inlineStr">
        <is>
          <t>Média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n">
        <v>65</v>
      </c>
      <c r="B71" s="57" t="inlineStr">
        <is>
          <t>GERAL</t>
        </is>
      </c>
      <c r="C71" s="57" t="n"/>
      <c r="D71" s="57" t="inlineStr">
        <is>
          <t>MECÂNICA</t>
        </is>
      </c>
      <c r="E71" s="57" t="inlineStr">
        <is>
          <t>Geral</t>
        </is>
      </c>
      <c r="F71" s="57" t="inlineStr">
        <is>
          <t>Emissão de RMO da Mecânica/Tubulação e Estruturas Metálicas</t>
        </is>
      </c>
      <c r="G71" s="57" t="inlineStr">
        <is>
          <t>Segurança / SMS</t>
        </is>
      </c>
      <c r="H71" s="57" t="inlineStr">
        <is>
          <t>Emitir RMO da equipe da mecânica</t>
        </is>
      </c>
      <c r="I71" s="57" t="inlineStr">
        <is>
          <t>Gustavo</t>
        </is>
      </c>
      <c r="J71" s="57" t="inlineStr">
        <is>
          <t>MCM</t>
        </is>
      </c>
      <c r="K71" s="58" t="n">
        <v>46277</v>
      </c>
      <c r="L71" s="58" t="n">
        <v>46279</v>
      </c>
      <c r="M71" s="57" t="inlineStr">
        <is>
          <t>Aberta</t>
        </is>
      </c>
      <c r="N71" s="57" t="inlineStr">
        <is>
          <t>Alta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n">
        <v>66</v>
      </c>
      <c r="B72" s="57" t="inlineStr">
        <is>
          <t>GERAL</t>
        </is>
      </c>
      <c r="C72" s="57" t="n"/>
      <c r="D72" s="57" t="inlineStr">
        <is>
          <t>MECÂNICA</t>
        </is>
      </c>
      <c r="E72" s="57" t="inlineStr">
        <is>
          <t>Geral</t>
        </is>
      </c>
      <c r="F72" s="57" t="inlineStr">
        <is>
          <t>Itens de içamento</t>
        </is>
      </c>
      <c r="G72" s="57" t="inlineStr">
        <is>
          <t>Segurança / SMS</t>
        </is>
      </c>
      <c r="H72" s="57" t="inlineStr">
        <is>
          <t>Verificar itens de içamento (Cintas/Manilhas/Cabos/Talhas/Tirfor)</t>
        </is>
      </c>
      <c r="I72" s="57" t="inlineStr">
        <is>
          <t>Sidney</t>
        </is>
      </c>
      <c r="J72" s="57" t="inlineStr">
        <is>
          <t>MCM</t>
        </is>
      </c>
      <c r="K72" s="58" t="n">
        <v>46277</v>
      </c>
      <c r="L72" s="58" t="n">
        <v>46283</v>
      </c>
      <c r="M72" s="57" t="inlineStr">
        <is>
          <t>Aberta</t>
        </is>
      </c>
      <c r="N72" s="57" t="inlineStr">
        <is>
          <t>Alta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n">
        <v>67</v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- 0411-TQ-001</t>
        </is>
      </c>
      <c r="F73" s="57" t="inlineStr">
        <is>
          <t>Documentações de segurança (AST/PETAR)</t>
        </is>
      </c>
      <c r="G73" s="57" t="inlineStr">
        <is>
          <t>Segurança / SMS</t>
        </is>
      </c>
      <c r="H73" s="57" t="inlineStr">
        <is>
          <t>Elaborar documentações necessárias</t>
        </is>
      </c>
      <c r="I73" s="57" t="inlineStr">
        <is>
          <t>Tatiane</t>
        </is>
      </c>
      <c r="J73" s="57" t="inlineStr">
        <is>
          <t>MCM</t>
        </is>
      </c>
      <c r="K73" s="58" t="n">
        <v>46277</v>
      </c>
      <c r="L73" s="58" t="n">
        <v>46283</v>
      </c>
      <c r="M73" s="57" t="inlineStr">
        <is>
          <t>Aberta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n">
        <v>68</v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Oxidação - 0411-TQ-001</t>
        </is>
      </c>
      <c r="F74" s="57" t="inlineStr">
        <is>
          <t>Plano de rigging + ART</t>
        </is>
      </c>
      <c r="G74" s="57" t="inlineStr">
        <is>
          <t>Projeto / Engenharia</t>
        </is>
      </c>
      <c r="H74" s="57" t="inlineStr">
        <is>
          <t>Avaliar área e enviar informações/projetos para a elaboração de plano de rigging</t>
        </is>
      </c>
      <c r="I74" s="57" t="inlineStr">
        <is>
          <t>Sidney</t>
        </is>
      </c>
      <c r="J74" s="57" t="inlineStr">
        <is>
          <t>MCM</t>
        </is>
      </c>
      <c r="K74" s="58" t="n">
        <v>46277</v>
      </c>
      <c r="L74" s="58" t="n">
        <v>46283</v>
      </c>
      <c r="M74" s="57" t="inlineStr">
        <is>
          <t>Aberta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n">
        <v>69</v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Oxidação - 0411-TQ-002</t>
        </is>
      </c>
      <c r="F75" s="57" t="inlineStr">
        <is>
          <t>Documentações de segurança (AST/PETAR)</t>
        </is>
      </c>
      <c r="G75" s="57" t="inlineStr">
        <is>
          <t>Segurança / SMS</t>
        </is>
      </c>
      <c r="H75" s="57" t="inlineStr">
        <is>
          <t>Elaborar documentações necessárias</t>
        </is>
      </c>
      <c r="I75" s="57" t="inlineStr">
        <is>
          <t>Tatiane</t>
        </is>
      </c>
      <c r="J75" s="57" t="inlineStr">
        <is>
          <t>MCM</t>
        </is>
      </c>
      <c r="K75" s="58" t="n">
        <v>46277</v>
      </c>
      <c r="L75" s="58" t="n">
        <v>46283</v>
      </c>
      <c r="M75" s="57" t="inlineStr">
        <is>
          <t>Aberta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n">
        <v>70</v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do Tanque de Oxidação - 0411-TQ-002</t>
        </is>
      </c>
      <c r="F76" s="57" t="inlineStr">
        <is>
          <t>Plano de rigging + ART</t>
        </is>
      </c>
      <c r="G76" s="57" t="inlineStr">
        <is>
          <t>Projeto / Engenharia</t>
        </is>
      </c>
      <c r="H76" s="57" t="inlineStr">
        <is>
          <t>Avaliar área e enviar informações/projetos para a elaboração de plano de rigging</t>
        </is>
      </c>
      <c r="I76" s="57" t="inlineStr">
        <is>
          <t>Sidney</t>
        </is>
      </c>
      <c r="J76" s="57" t="inlineStr">
        <is>
          <t>MCM</t>
        </is>
      </c>
      <c r="K76" s="58" t="n">
        <v>46277</v>
      </c>
      <c r="L76" s="58" t="n">
        <v>46283</v>
      </c>
      <c r="M76" s="57" t="inlineStr">
        <is>
          <t>Aberta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n">
        <v>71</v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do Tanque de Coagulação - 0411-TQ-003</t>
        </is>
      </c>
      <c r="F77" s="57" t="inlineStr">
        <is>
          <t>Documentações de segurança (AST/PETAR)</t>
        </is>
      </c>
      <c r="G77" s="57" t="inlineStr">
        <is>
          <t>Segurança / SMS</t>
        </is>
      </c>
      <c r="H77" s="57" t="inlineStr">
        <is>
          <t>Elaborar documentações necessárias</t>
        </is>
      </c>
      <c r="I77" s="57" t="inlineStr">
        <is>
          <t>Tatiane</t>
        </is>
      </c>
      <c r="J77" s="57" t="inlineStr">
        <is>
          <t>MCM</t>
        </is>
      </c>
      <c r="K77" s="58" t="n">
        <v>46277</v>
      </c>
      <c r="L77" s="58" t="n">
        <v>46283</v>
      </c>
      <c r="M77" s="57" t="inlineStr">
        <is>
          <t>Aberta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n">
        <v>72</v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do Tanque de Coagulação - 0411-TQ-003</t>
        </is>
      </c>
      <c r="F78" s="57" t="inlineStr">
        <is>
          <t>Plano de rigging + ART</t>
        </is>
      </c>
      <c r="G78" s="57" t="inlineStr">
        <is>
          <t>Projeto / Engenharia</t>
        </is>
      </c>
      <c r="H78" s="57" t="inlineStr">
        <is>
          <t>Avaliar área e enviar informações/projetos para a elaboração de plano de rigging</t>
        </is>
      </c>
      <c r="I78" s="57" t="inlineStr">
        <is>
          <t>Sidney</t>
        </is>
      </c>
      <c r="J78" s="57" t="inlineStr">
        <is>
          <t>MCM</t>
        </is>
      </c>
      <c r="K78" s="58" t="n">
        <v>46277</v>
      </c>
      <c r="L78" s="58" t="n">
        <v>46283</v>
      </c>
      <c r="M78" s="57" t="inlineStr">
        <is>
          <t>Aberta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n">
        <v>73</v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da Caixa Divisora de Fluxo - 0411-CX-001</t>
        </is>
      </c>
      <c r="F79" s="57" t="inlineStr">
        <is>
          <t>Documentações de segurança (AST/PETAR)</t>
        </is>
      </c>
      <c r="G79" s="57" t="inlineStr">
        <is>
          <t>Segurança / SMS</t>
        </is>
      </c>
      <c r="H79" s="57" t="inlineStr">
        <is>
          <t>Elaborar documentações necessárias</t>
        </is>
      </c>
      <c r="I79" s="57" t="inlineStr">
        <is>
          <t>Tatiane</t>
        </is>
      </c>
      <c r="J79" s="57" t="inlineStr">
        <is>
          <t>MCM</t>
        </is>
      </c>
      <c r="K79" s="58" t="n">
        <v>46277</v>
      </c>
      <c r="L79" s="58" t="n">
        <v>46283</v>
      </c>
      <c r="M79" s="57" t="inlineStr">
        <is>
          <t>Aberta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n">
        <v>74</v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da Caixa Divisora de Fluxo - 0411-CX-001</t>
        </is>
      </c>
      <c r="F80" s="57" t="inlineStr">
        <is>
          <t>Plano de rigging + ART</t>
        </is>
      </c>
      <c r="G80" s="57" t="inlineStr">
        <is>
          <t>Projeto / Engenharia</t>
        </is>
      </c>
      <c r="H80" s="57" t="inlineStr">
        <is>
          <t>Avaliar área e enviar informações/projetos para a elaboração de plano de rigging</t>
        </is>
      </c>
      <c r="I80" s="57" t="inlineStr">
        <is>
          <t>Sidney</t>
        </is>
      </c>
      <c r="J80" s="57" t="inlineStr">
        <is>
          <t>MCM</t>
        </is>
      </c>
      <c r="K80" s="58" t="n">
        <v>46277</v>
      </c>
      <c r="L80" s="58" t="n">
        <v>46283</v>
      </c>
      <c r="M80" s="57" t="inlineStr">
        <is>
          <t>Aberta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n">
        <v>75</v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Coagulação - 0411-TQ-004</t>
        </is>
      </c>
      <c r="F81" s="57" t="inlineStr">
        <is>
          <t>Documentações de segurança (AST/PETAR)</t>
        </is>
      </c>
      <c r="G81" s="57" t="inlineStr">
        <is>
          <t>Segurança / SMS</t>
        </is>
      </c>
      <c r="H81" s="57" t="inlineStr">
        <is>
          <t>Elaborar documentações necessárias</t>
        </is>
      </c>
      <c r="I81" s="57" t="inlineStr">
        <is>
          <t>Tatiane</t>
        </is>
      </c>
      <c r="J81" s="57" t="inlineStr">
        <is>
          <t>MCM</t>
        </is>
      </c>
      <c r="K81" s="58" t="n">
        <v>46277</v>
      </c>
      <c r="L81" s="58" t="n">
        <v>46283</v>
      </c>
      <c r="M81" s="57" t="inlineStr">
        <is>
          <t>Aberta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n">
        <v>76</v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Coagulação - 0411-TQ-004</t>
        </is>
      </c>
      <c r="F82" s="57" t="inlineStr">
        <is>
          <t>Plano de rigging + ART</t>
        </is>
      </c>
      <c r="G82" s="57" t="inlineStr">
        <is>
          <t>Projeto / Engenharia</t>
        </is>
      </c>
      <c r="H82" s="57" t="inlineStr">
        <is>
          <t>Avaliar área e enviar informações/projetos para a elaboração de plano de rigging</t>
        </is>
      </c>
      <c r="I82" s="57" t="inlineStr">
        <is>
          <t>Sidney</t>
        </is>
      </c>
      <c r="J82" s="57" t="inlineStr">
        <is>
          <t>MCM</t>
        </is>
      </c>
      <c r="K82" s="58" t="n">
        <v>46277</v>
      </c>
      <c r="L82" s="58" t="n">
        <v>46283</v>
      </c>
      <c r="M82" s="57" t="inlineStr">
        <is>
          <t>Aberta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n">
        <v>77</v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- 0411-TQ-005</t>
        </is>
      </c>
      <c r="F83" s="57" t="inlineStr">
        <is>
          <t>Documentações de segurança (AST/PETAR)</t>
        </is>
      </c>
      <c r="G83" s="57" t="inlineStr">
        <is>
          <t>Segurança / SMS</t>
        </is>
      </c>
      <c r="H83" s="57" t="inlineStr">
        <is>
          <t>Elaborar documentações necessárias</t>
        </is>
      </c>
      <c r="I83" s="57" t="inlineStr">
        <is>
          <t>Tatiane</t>
        </is>
      </c>
      <c r="J83" s="57" t="inlineStr">
        <is>
          <t>MCM</t>
        </is>
      </c>
      <c r="K83" s="58" t="n">
        <v>46277</v>
      </c>
      <c r="L83" s="58" t="n">
        <v>46283</v>
      </c>
      <c r="M83" s="57" t="inlineStr">
        <is>
          <t>Aberta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n">
        <v>78</v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Tanque de Floculação - 0411-TQ-005</t>
        </is>
      </c>
      <c r="F84" s="57" t="inlineStr">
        <is>
          <t>Plano de rigging + ART</t>
        </is>
      </c>
      <c r="G84" s="57" t="inlineStr">
        <is>
          <t>Projeto / Engenharia</t>
        </is>
      </c>
      <c r="H84" s="57" t="inlineStr">
        <is>
          <t>Avaliar área e enviar informações/projetos para a elaboração de plano de rigging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46283</v>
      </c>
      <c r="M84" s="57" t="inlineStr">
        <is>
          <t>Aberta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n">
        <v>79</v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Tanque de Floculação - 0411-TQ-006</t>
        </is>
      </c>
      <c r="F85" s="57" t="inlineStr">
        <is>
          <t>Documentações de segurança (AST/PETAR)</t>
        </is>
      </c>
      <c r="G85" s="57" t="inlineStr">
        <is>
          <t>Segurança / SMS</t>
        </is>
      </c>
      <c r="H85" s="57" t="inlineStr">
        <is>
          <t>Elaborar documentações necessárias</t>
        </is>
      </c>
      <c r="I85" s="57" t="inlineStr">
        <is>
          <t>Tatiane</t>
        </is>
      </c>
      <c r="J85" s="57" t="inlineStr">
        <is>
          <t>MCM</t>
        </is>
      </c>
      <c r="K85" s="58" t="n">
        <v>46277</v>
      </c>
      <c r="L85" s="58" t="n">
        <v>46283</v>
      </c>
      <c r="M85" s="57" t="inlineStr">
        <is>
          <t>Aberta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n">
        <v>80</v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Tanque de Floculação - 0411-TQ-006</t>
        </is>
      </c>
      <c r="F86" s="57" t="inlineStr">
        <is>
          <t>Plano de rigging + ART</t>
        </is>
      </c>
      <c r="G86" s="57" t="inlineStr">
        <is>
          <t>Projeto / Engenharia</t>
        </is>
      </c>
      <c r="H86" s="57" t="inlineStr">
        <is>
          <t>Avaliar área e enviar informações/projetos para a elaboração de plano de rigging</t>
        </is>
      </c>
      <c r="I86" s="57" t="inlineStr">
        <is>
          <t>Sidney</t>
        </is>
      </c>
      <c r="J86" s="57" t="inlineStr">
        <is>
          <t>MCM</t>
        </is>
      </c>
      <c r="K86" s="58" t="n">
        <v>46277</v>
      </c>
      <c r="L86" s="58" t="n">
        <v>46283</v>
      </c>
      <c r="M86" s="57" t="inlineStr">
        <is>
          <t>Aberta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n">
        <v>81</v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- 0411-DC-001</t>
        </is>
      </c>
      <c r="F87" s="57" t="inlineStr">
        <is>
          <t>Documentações de segurança (AST/PETAR)</t>
        </is>
      </c>
      <c r="G87" s="57" t="inlineStr">
        <is>
          <t>Segurança / SMS</t>
        </is>
      </c>
      <c r="H87" s="57" t="inlineStr">
        <is>
          <t>Elaborar documentações necessárias</t>
        </is>
      </c>
      <c r="I87" s="57" t="inlineStr">
        <is>
          <t>Tatiane</t>
        </is>
      </c>
      <c r="J87" s="57" t="inlineStr">
        <is>
          <t>MCM</t>
        </is>
      </c>
      <c r="K87" s="58" t="n">
        <v>46277</v>
      </c>
      <c r="L87" s="58" t="n">
        <v>46283</v>
      </c>
      <c r="M87" s="57" t="inlineStr">
        <is>
          <t>Aberta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n">
        <v>82</v>
      </c>
      <c r="B88" s="57" t="inlineStr">
        <is>
          <t>ETEI</t>
        </is>
      </c>
      <c r="C88" s="57" t="n"/>
      <c r="D88" s="57" t="inlineStr">
        <is>
          <t>MECÂNICA</t>
        </is>
      </c>
      <c r="E88" s="57" t="inlineStr">
        <is>
          <t>Montagem do Decantador Lamelar - 0411-DC-001</t>
        </is>
      </c>
      <c r="F88" s="57" t="inlineStr">
        <is>
          <t>Plano de rigging + ART</t>
        </is>
      </c>
      <c r="G88" s="57" t="inlineStr">
        <is>
          <t>Projeto / Engenharia</t>
        </is>
      </c>
      <c r="H88" s="57" t="inlineStr">
        <is>
          <t>Avaliar área e enviar informações/projetos para a elaboração de plano de rigging</t>
        </is>
      </c>
      <c r="I88" s="57" t="inlineStr">
        <is>
          <t>Sidney</t>
        </is>
      </c>
      <c r="J88" s="57" t="inlineStr">
        <is>
          <t>MCM</t>
        </is>
      </c>
      <c r="K88" s="58" t="n">
        <v>46277</v>
      </c>
      <c r="L88" s="58" t="n">
        <v>46283</v>
      </c>
      <c r="M88" s="57" t="inlineStr">
        <is>
          <t>Aberta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n">
        <v>83</v>
      </c>
      <c r="B89" s="57" t="inlineStr">
        <is>
          <t>ETEI</t>
        </is>
      </c>
      <c r="C89" s="57" t="n"/>
      <c r="D89" s="57" t="inlineStr">
        <is>
          <t>MECÂNICA</t>
        </is>
      </c>
      <c r="E89" s="57" t="inlineStr">
        <is>
          <t>Montagem do Decantador Lamelar - 0411-DC-002</t>
        </is>
      </c>
      <c r="F89" s="57" t="inlineStr">
        <is>
          <t>Documentações de segurança (AST/PETAR)</t>
        </is>
      </c>
      <c r="G89" s="57" t="inlineStr">
        <is>
          <t>Segurança / SMS</t>
        </is>
      </c>
      <c r="H89" s="57" t="inlineStr">
        <is>
          <t>Elaborar documentações necessárias</t>
        </is>
      </c>
      <c r="I89" s="57" t="inlineStr">
        <is>
          <t>Tatiane</t>
        </is>
      </c>
      <c r="J89" s="57" t="inlineStr">
        <is>
          <t>MCM</t>
        </is>
      </c>
      <c r="K89" s="58" t="n">
        <v>46277</v>
      </c>
      <c r="L89" s="58" t="n">
        <v>46283</v>
      </c>
      <c r="M89" s="57" t="inlineStr">
        <is>
          <t>Aberta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n">
        <v>84</v>
      </c>
      <c r="B90" s="57" t="inlineStr">
        <is>
          <t>ETEI</t>
        </is>
      </c>
      <c r="C90" s="57" t="n"/>
      <c r="D90" s="57" t="inlineStr">
        <is>
          <t>MECÂNICA</t>
        </is>
      </c>
      <c r="E90" s="57" t="inlineStr">
        <is>
          <t>Montagem do Decantador Lamelar - 0411-DC-002</t>
        </is>
      </c>
      <c r="F90" s="57" t="inlineStr">
        <is>
          <t>Plano de rigging + ART</t>
        </is>
      </c>
      <c r="G90" s="57" t="inlineStr">
        <is>
          <t>Projeto / Engenharia</t>
        </is>
      </c>
      <c r="H90" s="57" t="inlineStr">
        <is>
          <t>Avaliar área e enviar informações/projetos para a elaboração de plano de rigging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46283</v>
      </c>
      <c r="M90" s="57" t="inlineStr">
        <is>
          <t>Aberta</t>
        </is>
      </c>
      <c r="N90" s="57" t="inlineStr">
        <is>
          <t>Média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n">
        <v>85</v>
      </c>
      <c r="B91" s="57" t="inlineStr">
        <is>
          <t>PLANTA DE CAL</t>
        </is>
      </c>
      <c r="C91" s="57" t="n"/>
      <c r="D91" s="57" t="inlineStr">
        <is>
          <t>MECÂNICA</t>
        </is>
      </c>
      <c r="E91" s="57" t="inlineStr">
        <is>
          <t>Montagem da Treliça (TR-05) - Travessia de Veículo Planta de Cal</t>
        </is>
      </c>
      <c r="F91" s="57" t="inlineStr">
        <is>
          <t>Documentações de segurança (AST/PETAR)</t>
        </is>
      </c>
      <c r="G91" s="57" t="inlineStr">
        <is>
          <t>Segurança / SMS</t>
        </is>
      </c>
      <c r="H91" s="57" t="inlineStr">
        <is>
          <t>Elaborar documentações necessárias</t>
        </is>
      </c>
      <c r="I91" s="57" t="inlineStr">
        <is>
          <t>Tatiane</t>
        </is>
      </c>
      <c r="J91" s="57" t="inlineStr">
        <is>
          <t>MCM</t>
        </is>
      </c>
      <c r="K91" s="58" t="n">
        <v>46277</v>
      </c>
      <c r="L91" s="58" t="n">
        <v>46283</v>
      </c>
      <c r="M91" s="57" t="inlineStr">
        <is>
          <t>Aberta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n">
        <v>86</v>
      </c>
      <c r="B92" s="57" t="inlineStr">
        <is>
          <t>PLANTA DE CAL</t>
        </is>
      </c>
      <c r="C92" s="57" t="n"/>
      <c r="D92" s="57" t="inlineStr">
        <is>
          <t>MECÂNICA</t>
        </is>
      </c>
      <c r="E92" s="57" t="inlineStr">
        <is>
          <t>Montagem da Treliça (TR-05) - Travessia de Veículo Planta de Cal</t>
        </is>
      </c>
      <c r="F92" s="57" t="inlineStr">
        <is>
          <t>Plano de rigging + ART</t>
        </is>
      </c>
      <c r="G92" s="57" t="inlineStr">
        <is>
          <t>Projeto / Engenharia</t>
        </is>
      </c>
      <c r="H92" s="57" t="inlineStr">
        <is>
          <t>Avaliar área e enviar informações/projetos para a elaboração de plano de rigging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46283</v>
      </c>
      <c r="M92" s="57" t="inlineStr">
        <is>
          <t>Aberta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n">
        <v>87</v>
      </c>
      <c r="B93" s="57" t="inlineStr">
        <is>
          <t>PLANTA DE CAL</t>
        </is>
      </c>
      <c r="C93" s="57" t="n"/>
      <c r="D93" s="57" t="inlineStr">
        <is>
          <t>MECÂNICA</t>
        </is>
      </c>
      <c r="E93" s="57" t="inlineStr">
        <is>
          <t>Montagem da Treliça (TR-05) - Travessia de Veículo Planta de Cal</t>
        </is>
      </c>
      <c r="F93" s="57" t="inlineStr">
        <is>
          <t>Fabricação da estrutura</t>
        </is>
      </c>
      <c r="G93" s="57" t="inlineStr">
        <is>
          <t>Projeto / Engenharia</t>
        </is>
      </c>
      <c r="H93" s="57" t="inlineStr">
        <is>
          <t>Monitorar industrialização (Shop Drawing/Compras/Fabricação)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46279</v>
      </c>
      <c r="M93" s="57" t="inlineStr">
        <is>
          <t>Aberta</t>
        </is>
      </c>
      <c r="N93" s="57" t="inlineStr">
        <is>
          <t>Alta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n">
        <v>88</v>
      </c>
      <c r="B94" s="57" t="inlineStr">
        <is>
          <t>PORTARIA</t>
        </is>
      </c>
      <c r="C94" s="57" t="n"/>
      <c r="D94" s="57" t="inlineStr">
        <is>
          <t>MECÂNICA</t>
        </is>
      </c>
      <c r="E94" s="57" t="inlineStr">
        <is>
          <t>Montagem da Treliça 40.000mm (TR-01) - Travessia de veiculos da Portaria'</t>
        </is>
      </c>
      <c r="F94" s="57" t="inlineStr">
        <is>
          <t>Documentações de segurança (AST/PETAR)</t>
        </is>
      </c>
      <c r="G94" s="57" t="inlineStr">
        <is>
          <t>Segurança / SMS</t>
        </is>
      </c>
      <c r="H94" s="57" t="inlineStr">
        <is>
          <t>Elaborar documentações necessárias</t>
        </is>
      </c>
      <c r="I94" s="57" t="inlineStr">
        <is>
          <t>Tatiane</t>
        </is>
      </c>
      <c r="J94" s="57" t="inlineStr">
        <is>
          <t>MCM</t>
        </is>
      </c>
      <c r="K94" s="58" t="n">
        <v>46277</v>
      </c>
      <c r="L94" s="58" t="n">
        <v>46283</v>
      </c>
      <c r="M94" s="57" t="inlineStr">
        <is>
          <t>Aberta</t>
        </is>
      </c>
      <c r="N94" s="57" t="inlineStr">
        <is>
          <t>Média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n">
        <v>89</v>
      </c>
      <c r="B95" s="57" t="inlineStr">
        <is>
          <t>PORTARIA</t>
        </is>
      </c>
      <c r="C95" s="57" t="n"/>
      <c r="D95" s="57" t="inlineStr">
        <is>
          <t>MECÂNICA</t>
        </is>
      </c>
      <c r="E95" s="57" t="inlineStr">
        <is>
          <t>Montagem da Treliça 40.000mm (TR-01) - Travessia de veiculos da Portaria'</t>
        </is>
      </c>
      <c r="F95" s="57" t="inlineStr">
        <is>
          <t>Plano de rigging + ART</t>
        </is>
      </c>
      <c r="G95" s="57" t="inlineStr">
        <is>
          <t>Projeto / Engenharia</t>
        </is>
      </c>
      <c r="H95" s="57" t="inlineStr">
        <is>
          <t>Avaliar área e enviar informações/projetos para a elaboração de plano de rigging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46283</v>
      </c>
      <c r="M95" s="57" t="inlineStr">
        <is>
          <t>Aberta</t>
        </is>
      </c>
      <c r="N95" s="57" t="inlineStr">
        <is>
          <t>Média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n">
        <v>90</v>
      </c>
      <c r="B96" s="57" t="inlineStr">
        <is>
          <t>PORTARIA</t>
        </is>
      </c>
      <c r="C96" s="57" t="n"/>
      <c r="D96" s="57" t="inlineStr">
        <is>
          <t>MECÂNICA</t>
        </is>
      </c>
      <c r="E96" s="57" t="inlineStr">
        <is>
          <t>Montagem da Treliça 40.000mm (TR-01) - Travessia de veiculos da Portaria'</t>
        </is>
      </c>
      <c r="F96" s="57" t="inlineStr">
        <is>
          <t>Fabricação da estrutura</t>
        </is>
      </c>
      <c r="G96" s="57" t="inlineStr">
        <is>
          <t>Projeto / Engenharia</t>
        </is>
      </c>
      <c r="H96" s="57" t="inlineStr">
        <is>
          <t>Monitorar industrialização (Shop Drawing/Compras/Fabricação)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46279</v>
      </c>
      <c r="M96" s="57" t="inlineStr">
        <is>
          <t>Aberta</t>
        </is>
      </c>
      <c r="N96" s="57" t="inlineStr">
        <is>
          <t>Alta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n">
        <v>91</v>
      </c>
      <c r="B97" s="57" t="inlineStr">
        <is>
          <t>GERAL</t>
        </is>
      </c>
      <c r="C97" s="57" t="n"/>
      <c r="D97" s="57" t="inlineStr">
        <is>
          <t>MECÂNICA</t>
        </is>
      </c>
      <c r="E97" s="57" t="inlineStr">
        <is>
          <t>Revisão dos projetos dos pipe racks</t>
        </is>
      </c>
      <c r="F97" s="57" t="inlineStr">
        <is>
          <t>Revisão dos projetos</t>
        </is>
      </c>
      <c r="G97" s="57" t="inlineStr">
        <is>
          <t>Projeto / Engenharia</t>
        </is>
      </c>
      <c r="H97" s="57" t="inlineStr">
        <is>
          <t>Cobrar retorno da Engenharia Nexa quanto às revisões dos projetos dos pipe racks</t>
        </is>
      </c>
      <c r="I97" s="57" t="inlineStr">
        <is>
          <t>Sidney</t>
        </is>
      </c>
      <c r="J97" s="57" t="inlineStr">
        <is>
          <t>MCM</t>
        </is>
      </c>
      <c r="K97" s="58" t="n">
        <v>46277</v>
      </c>
      <c r="L97" s="58" t="n">
        <v>46279</v>
      </c>
      <c r="M97" s="57" t="inlineStr">
        <is>
          <t>Aberta</t>
        </is>
      </c>
      <c r="N97" s="57" t="inlineStr">
        <is>
          <t>Alta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n">
        <v>92</v>
      </c>
      <c r="B98" s="57" t="inlineStr">
        <is>
          <t>GERAL</t>
        </is>
      </c>
      <c r="C98" s="57" t="n"/>
      <c r="D98" s="57" t="inlineStr">
        <is>
          <t>TUBULAÇÃO</t>
        </is>
      </c>
      <c r="E98" s="57" t="inlineStr">
        <is>
          <t>MONTAGENS DAS TUBULAÇÕES GERAL</t>
        </is>
      </c>
      <c r="F98" s="57" t="inlineStr">
        <is>
          <t>Revisão dos projetos</t>
        </is>
      </c>
      <c r="G98" s="57" t="inlineStr">
        <is>
          <t>Projeto / Engenharia</t>
        </is>
      </c>
      <c r="H98" s="57" t="inlineStr">
        <is>
          <t>Cobrar retorno da Engenharia Nexa quanto às revisões dos projetos dos pipe racks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46279</v>
      </c>
      <c r="M98" s="57" t="inlineStr">
        <is>
          <t>Aberta</t>
        </is>
      </c>
      <c r="N98" s="57" t="inlineStr">
        <is>
          <t>Alta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n">
        <v>93</v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Modificação do Distribuidor do Espessador</t>
        </is>
      </c>
      <c r="F99" s="57" t="inlineStr">
        <is>
          <t>Mapear restrições</t>
        </is>
      </c>
      <c r="G99" s="57" t="inlineStr">
        <is>
          <t>Projeto / Engenharia</t>
        </is>
      </c>
      <c r="H99" s="57" t="inlineStr">
        <is>
          <t>Visitra em campo para levantamento de restrições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46283</v>
      </c>
      <c r="M99" s="57" t="inlineStr">
        <is>
          <t>Aberta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n">
        <v>94</v>
      </c>
      <c r="B100" s="57" t="inlineStr">
        <is>
          <t>LODO</t>
        </is>
      </c>
      <c r="C100" s="57" t="n"/>
      <c r="D100" s="57" t="inlineStr">
        <is>
          <t>TUBULAÇÃO</t>
        </is>
      </c>
      <c r="E100" s="57" t="inlineStr">
        <is>
          <t>Montagem da tubulação de lodo</t>
        </is>
      </c>
      <c r="F100" s="57" t="inlineStr">
        <is>
          <t>Documentações de segurança (AST/PETAR)</t>
        </is>
      </c>
      <c r="G100" s="57" t="inlineStr">
        <is>
          <t>Segurança / SMS</t>
        </is>
      </c>
      <c r="H100" s="57" t="inlineStr">
        <is>
          <t>Elaborar documentações necessárias</t>
        </is>
      </c>
      <c r="I100" s="57" t="inlineStr">
        <is>
          <t>Tatiane</t>
        </is>
      </c>
      <c r="J100" s="57" t="inlineStr">
        <is>
          <t>MCM</t>
        </is>
      </c>
      <c r="K100" s="58" t="n">
        <v>46277</v>
      </c>
      <c r="L100" s="58" t="n">
        <v>46283</v>
      </c>
      <c r="M100" s="57" t="inlineStr">
        <is>
          <t>Aberta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n">
        <v>95</v>
      </c>
      <c r="B101" s="57" t="inlineStr">
        <is>
          <t>LODO</t>
        </is>
      </c>
      <c r="C101" s="57" t="n"/>
      <c r="D101" s="57" t="inlineStr">
        <is>
          <t>TUBULAÇÃO</t>
        </is>
      </c>
      <c r="E101" s="57" t="inlineStr">
        <is>
          <t>Montagem da tubulação de lodo</t>
        </is>
      </c>
      <c r="F101" s="57" t="inlineStr">
        <is>
          <t>Mapear acessos (Torres de andaimes/PTA)</t>
        </is>
      </c>
      <c r="G101" s="57" t="inlineStr">
        <is>
          <t>Projeto / Engenharia</t>
        </is>
      </c>
      <c r="H101" s="57" t="inlineStr">
        <is>
          <t>Avaliar área do lodo (pipe racks) para mapear acessos tanto com andaimes quanto PTA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46283</v>
      </c>
      <c r="M101" s="57" t="inlineStr">
        <is>
          <t>Aberta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n">
        <v>96</v>
      </c>
      <c r="B102" s="57" t="inlineStr">
        <is>
          <t>LODO</t>
        </is>
      </c>
      <c r="C102" s="57" t="n"/>
      <c r="D102" s="57" t="inlineStr">
        <is>
          <t>TUBULAÇÃO</t>
        </is>
      </c>
      <c r="E102" s="57" t="inlineStr">
        <is>
          <t>Montagem da tubulação de lodo</t>
        </is>
      </c>
      <c r="F102" s="57" t="inlineStr">
        <is>
          <t>Suportes da linha de lodo</t>
        </is>
      </c>
      <c r="G102" s="57" t="inlineStr">
        <is>
          <t>Projeto / Engenharia</t>
        </is>
      </c>
      <c r="H102" s="57" t="inlineStr">
        <is>
          <t>Verificar suportação da linha de lodo nos pipe racks</t>
        </is>
      </c>
      <c r="I102" s="57" t="inlineStr">
        <is>
          <t>Sidney</t>
        </is>
      </c>
      <c r="J102" s="57" t="inlineStr">
        <is>
          <t>MCM</t>
        </is>
      </c>
      <c r="K102" s="58" t="n">
        <v>46277</v>
      </c>
      <c r="L102" s="58" t="n">
        <v>46279</v>
      </c>
      <c r="M102" s="57" t="inlineStr">
        <is>
          <t>Aberta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n">
        <v>97</v>
      </c>
      <c r="B103" s="57" t="inlineStr">
        <is>
          <t>GERAL</t>
        </is>
      </c>
      <c r="C103" s="57" t="n"/>
      <c r="D103" s="57" t="inlineStr">
        <is>
          <t>TUBULAÇÃO</t>
        </is>
      </c>
      <c r="E103" s="57" t="inlineStr">
        <is>
          <t>Montagem das tubulações Geral</t>
        </is>
      </c>
      <c r="F103" s="57" t="inlineStr">
        <is>
          <t>Retoques de pintura</t>
        </is>
      </c>
      <c r="G103" s="57" t="inlineStr">
        <is>
          <t>Materiais</t>
        </is>
      </c>
      <c r="H103" s="57" t="inlineStr">
        <is>
          <t>Alinhar envio de galões de tintas para retoques das tubulações</t>
        </is>
      </c>
      <c r="I103" s="57" t="inlineStr">
        <is>
          <t>Sidney</t>
        </is>
      </c>
      <c r="J103" s="57" t="inlineStr">
        <is>
          <t>MCM</t>
        </is>
      </c>
      <c r="K103" s="58" t="n">
        <v>46277</v>
      </c>
      <c r="L103" s="58" t="n">
        <v>46279</v>
      </c>
      <c r="M103" s="57" t="inlineStr">
        <is>
          <t>Aberta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n">
        <v>98</v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Suportes do Pipe Rack (Bandejamento principal)</t>
        </is>
      </c>
      <c r="F104" s="57" t="inlineStr">
        <is>
          <t>Plano de rigging + ART</t>
        </is>
      </c>
      <c r="G104" s="57" t="inlineStr">
        <is>
          <t>Projeto / Engenharia</t>
        </is>
      </c>
      <c r="H104" s="57" t="inlineStr">
        <is>
          <t>Elaborar plano de rigging</t>
        </is>
      </c>
      <c r="I104" s="57" t="inlineStr">
        <is>
          <t>Sidney</t>
        </is>
      </c>
      <c r="J104" s="57" t="inlineStr">
        <is>
          <t>MCM</t>
        </is>
      </c>
      <c r="K104" s="58" t="n">
        <v>46277</v>
      </c>
      <c r="L104" s="58" t="n">
        <v>46283</v>
      </c>
      <c r="M104" s="57" t="inlineStr">
        <is>
          <t>Aberta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n">
        <v>99</v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Material (Infra)</t>
        </is>
      </c>
      <c r="G105" s="57" t="inlineStr">
        <is>
          <t>Materiais</t>
        </is>
      </c>
      <c r="H105" s="57" t="inlineStr">
        <is>
          <t>Verificar disponibilidade do material na Nexa (Fornecimento Acuantia)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46283</v>
      </c>
      <c r="M105" s="57" t="inlineStr">
        <is>
          <t>Aberta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n">
        <v>100</v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Recurso MDO</t>
        </is>
      </c>
      <c r="G106" s="57" t="inlineStr">
        <is>
          <t>Mão de Obra</t>
        </is>
      </c>
      <c r="H106" s="57" t="inlineStr">
        <is>
          <t>Levantar RMO</t>
        </is>
      </c>
      <c r="I106" s="57" t="inlineStr">
        <is>
          <t>Jean</t>
        </is>
      </c>
      <c r="J106" s="57" t="inlineStr">
        <is>
          <t>MCM</t>
        </is>
      </c>
      <c r="K106" s="58" t="n">
        <v>46277</v>
      </c>
      <c r="L106" s="58" t="n">
        <v>46279</v>
      </c>
      <c r="M106" s="57" t="inlineStr">
        <is>
          <t>Aberta</t>
        </is>
      </c>
      <c r="N106" s="57" t="inlineStr">
        <is>
          <t>Média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n">
        <v>101</v>
      </c>
      <c r="B107" s="57" t="inlineStr">
        <is>
          <t>ETEI</t>
        </is>
      </c>
      <c r="C107" s="57" t="n"/>
      <c r="D107" s="57" t="inlineStr">
        <is>
          <t>ELÉTRICA</t>
        </is>
      </c>
      <c r="E107" s="57" t="inlineStr">
        <is>
          <t>Montagem de Leitos do Pipe Rack (Bandejamento principal)</t>
        </is>
      </c>
      <c r="F107" s="57" t="inlineStr">
        <is>
          <t>Projetos para montagem de infra</t>
        </is>
      </c>
      <c r="G107" s="57" t="inlineStr">
        <is>
          <t>Projeto / Engenharia</t>
        </is>
      </c>
      <c r="H107" s="57" t="inlineStr">
        <is>
          <t>Verificar projetos de encaminhamentos dos bandejamentos (infra)</t>
        </is>
      </c>
      <c r="I107" s="57" t="inlineStr">
        <is>
          <t>Jean</t>
        </is>
      </c>
      <c r="J107" s="57" t="inlineStr">
        <is>
          <t>MCM</t>
        </is>
      </c>
      <c r="K107" s="58" t="n">
        <v>46277</v>
      </c>
      <c r="L107" s="58" t="n">
        <v>46281</v>
      </c>
      <c r="M107" s="57" t="inlineStr">
        <is>
          <t>Aberta</t>
        </is>
      </c>
      <c r="N107" s="57" t="inlineStr">
        <is>
          <t>Média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n">
        <v>102</v>
      </c>
      <c r="B108" s="57" t="inlineStr">
        <is>
          <t>ETEI</t>
        </is>
      </c>
      <c r="C108" s="57" t="n"/>
      <c r="D108" s="57" t="inlineStr">
        <is>
          <t>ELÉTRICA</t>
        </is>
      </c>
      <c r="E108" s="57" t="inlineStr">
        <is>
          <t>Montagem de Leitos do Pipe Rack (Bandejamento principal)</t>
        </is>
      </c>
      <c r="F108" s="57" t="inlineStr">
        <is>
          <t>Documentações de segurança (AST/PETAR)</t>
        </is>
      </c>
      <c r="G108" s="57" t="inlineStr">
        <is>
          <t>Segurança / SMS</t>
        </is>
      </c>
      <c r="H108" s="57" t="inlineStr">
        <is>
          <t>Elaborar documentações necessárias</t>
        </is>
      </c>
      <c r="I108" s="57" t="inlineStr">
        <is>
          <t>Tatiane</t>
        </is>
      </c>
      <c r="J108" s="57" t="inlineStr">
        <is>
          <t>MCM</t>
        </is>
      </c>
      <c r="K108" s="58" t="n">
        <v>46277</v>
      </c>
      <c r="L108" s="58" t="n">
        <v>46290</v>
      </c>
      <c r="M108" s="57" t="inlineStr">
        <is>
          <t>Aberta</t>
        </is>
      </c>
      <c r="N108" s="57" t="inlineStr">
        <is>
          <t>Média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n">
        <v>103</v>
      </c>
      <c r="B109" s="57" t="inlineStr">
        <is>
          <t>ETEI</t>
        </is>
      </c>
      <c r="C109" s="57" t="n"/>
      <c r="D109" s="57" t="inlineStr">
        <is>
          <t>ELÉTRICA</t>
        </is>
      </c>
      <c r="E109" s="57" t="inlineStr">
        <is>
          <t>Montagem de Leitos do Pipe Rack (Bandejamento principal)</t>
        </is>
      </c>
      <c r="F109" s="57" t="inlineStr">
        <is>
          <t>Miscelâneas</t>
        </is>
      </c>
      <c r="G109" s="57" t="inlineStr">
        <is>
          <t>Materiais</t>
        </is>
      </c>
      <c r="H109" s="57" t="inlineStr">
        <is>
          <t>Verificar nas LMs/Nexa a disponibilidade das miscelâneas</t>
        </is>
      </c>
      <c r="I109" s="57" t="inlineStr">
        <is>
          <t>Jean</t>
        </is>
      </c>
      <c r="J109" s="57" t="inlineStr">
        <is>
          <t>MCM</t>
        </is>
      </c>
      <c r="K109" s="58" t="n">
        <v>46277</v>
      </c>
      <c r="L109" s="58" t="n">
        <v>46279</v>
      </c>
      <c r="M109" s="57" t="inlineStr">
        <is>
          <t>Aberta</t>
        </is>
      </c>
      <c r="N109" s="57" t="inlineStr">
        <is>
          <t>Média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inlineStr">
        <is>
          <t>104</t>
        </is>
      </c>
      <c r="B110" s="57" t="inlineStr">
        <is>
          <t>ETEI</t>
        </is>
      </c>
      <c r="C110" s="57" t="n"/>
      <c r="D110" s="57" t="inlineStr">
        <is>
          <t>ELÉTRICA</t>
        </is>
      </c>
      <c r="E110" s="57" t="inlineStr">
        <is>
          <t>Montagem de Leitos do Pipe Rack (Bandejamento principal)</t>
        </is>
      </c>
      <c r="F110" s="57" t="inlineStr">
        <is>
          <t>Acesso aos cable racks</t>
        </is>
      </c>
      <c r="G110" s="57" t="inlineStr">
        <is>
          <t>Segurança / SMS</t>
        </is>
      </c>
      <c r="H110" s="57" t="inlineStr">
        <is>
          <t>Verificar qual escada é permitida para realizar trabalhos em altura</t>
        </is>
      </c>
      <c r="I110" s="57" t="inlineStr">
        <is>
          <t>Tatiane</t>
        </is>
      </c>
      <c r="J110" s="57" t="inlineStr">
        <is>
          <t>MCM</t>
        </is>
      </c>
      <c r="K110" s="58" t="n">
        <v>46277</v>
      </c>
      <c r="L110" s="58" t="n">
        <v>46290</v>
      </c>
      <c r="M110" s="57" t="inlineStr">
        <is>
          <t>Aberta</t>
        </is>
      </c>
      <c r="N110" s="57" t="inlineStr">
        <is>
          <t>Alta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n">
        <v>105</v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Acesso aos cable racks</t>
        </is>
      </c>
      <c r="G111" s="57" t="inlineStr">
        <is>
          <t>Projeto / Engenharia</t>
        </is>
      </c>
      <c r="H111" s="57" t="inlineStr">
        <is>
          <t>Verificar em campo os acessos (PTA/Andaimes)</t>
        </is>
      </c>
      <c r="I111" s="57" t="inlineStr">
        <is>
          <t>Jean</t>
        </is>
      </c>
      <c r="J111" s="57" t="inlineStr">
        <is>
          <t>MCM</t>
        </is>
      </c>
      <c r="K111" s="58" t="n">
        <v>46277</v>
      </c>
      <c r="L111" s="58" t="n">
        <v>46283</v>
      </c>
      <c r="M111" s="57" t="inlineStr">
        <is>
          <t>Aberta</t>
        </is>
      </c>
      <c r="N111" s="57" t="inlineStr">
        <is>
          <t>Alta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n">
        <v>106</v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Material aplicado (eletrodutos, conduletes, suportes, etc)</t>
        </is>
      </c>
      <c r="G112" s="57" t="inlineStr">
        <is>
          <t>Suprimentos</t>
        </is>
      </c>
      <c r="H112" s="57" t="inlineStr">
        <is>
          <t>Garantir que o material chegue na data necessária</t>
        </is>
      </c>
      <c r="I112" s="57" t="inlineStr">
        <is>
          <t>Rubens</t>
        </is>
      </c>
      <c r="J112" s="57" t="inlineStr">
        <is>
          <t>MCM</t>
        </is>
      </c>
      <c r="K112" s="58" t="n">
        <v>46277</v>
      </c>
      <c r="L112" s="58" t="n">
        <v>46308</v>
      </c>
      <c r="M112" s="57" t="inlineStr">
        <is>
          <t>Aberta</t>
        </is>
      </c>
      <c r="N112" s="57" t="inlineStr">
        <is>
          <t>Alta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n">
        <v>107</v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Montagem de Infraestrura de Força / Controle</t>
        </is>
      </c>
      <c r="F113" s="57" t="inlineStr">
        <is>
          <t>Suportes de infra</t>
        </is>
      </c>
      <c r="G113" s="57" t="inlineStr">
        <is>
          <t>Projeto / Engenharia</t>
        </is>
      </c>
      <c r="H113" s="57" t="inlineStr">
        <is>
          <t>Verificar modelos e quantitativos de suportes necessários para fabricação (avaliar fabricação no galpão)</t>
        </is>
      </c>
      <c r="I113" s="57" t="inlineStr">
        <is>
          <t>Jean</t>
        </is>
      </c>
      <c r="J113" s="57" t="inlineStr">
        <is>
          <t>MCM</t>
        </is>
      </c>
      <c r="K113" s="58" t="n">
        <v>46277</v>
      </c>
      <c r="L113" s="58" t="n">
        <v>46283</v>
      </c>
      <c r="M113" s="57" t="inlineStr">
        <is>
          <t>Aberta</t>
        </is>
      </c>
      <c r="N113" s="57" t="inlineStr">
        <is>
          <t>Alta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n">
        <v>108</v>
      </c>
      <c r="B114" s="57" t="inlineStr">
        <is>
          <t>PLANTA DE CAL</t>
        </is>
      </c>
      <c r="C114" s="57" t="n"/>
      <c r="D114" s="57" t="inlineStr">
        <is>
          <t>ELÉTRICA</t>
        </is>
      </c>
      <c r="E114" s="57" t="inlineStr">
        <is>
          <t>Montagem de Infraestrura de Força / Controle</t>
        </is>
      </c>
      <c r="F114" s="57" t="inlineStr">
        <is>
          <t>Projetos para montagem de infra</t>
        </is>
      </c>
      <c r="G114" s="57" t="inlineStr">
        <is>
          <t>Projeto / Engenharia</t>
        </is>
      </c>
      <c r="H114" s="57" t="inlineStr">
        <is>
          <t>Avaliar projetos e identificar restrições</t>
        </is>
      </c>
      <c r="I114" s="57" t="inlineStr">
        <is>
          <t>Jean</t>
        </is>
      </c>
      <c r="J114" s="57" t="inlineStr">
        <is>
          <t>MCM</t>
        </is>
      </c>
      <c r="K114" s="58" t="n">
        <v>46277</v>
      </c>
      <c r="L114" s="58" t="n">
        <v>46286</v>
      </c>
      <c r="M114" s="57" t="inlineStr">
        <is>
          <t>Aberta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n">
        <v>109</v>
      </c>
      <c r="B115" s="57" t="inlineStr">
        <is>
          <t>PLANTA DE CAL</t>
        </is>
      </c>
      <c r="C115" s="57" t="n"/>
      <c r="D115" s="57" t="inlineStr">
        <is>
          <t>ELÉTRICA</t>
        </is>
      </c>
      <c r="E115" s="57" t="inlineStr">
        <is>
          <t>Montagem de Infraestrura de Força / Controle</t>
        </is>
      </c>
      <c r="F115" s="57" t="inlineStr">
        <is>
          <t>Documentações de segurança (AST/PETAR)</t>
        </is>
      </c>
      <c r="G115" s="57" t="inlineStr">
        <is>
          <t>Segurança / SMS</t>
        </is>
      </c>
      <c r="H115" s="57" t="inlineStr">
        <is>
          <t>Elaborar documentações necessárias</t>
        </is>
      </c>
      <c r="I115" s="57" t="inlineStr">
        <is>
          <t>Tatiane</t>
        </is>
      </c>
      <c r="J115" s="57" t="inlineStr">
        <is>
          <t>MCM</t>
        </is>
      </c>
      <c r="K115" s="58" t="n">
        <v>46277</v>
      </c>
      <c r="L115" s="58" t="n">
        <v>46297</v>
      </c>
      <c r="M115" s="57" t="inlineStr">
        <is>
          <t>Aberta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n">
        <v>110</v>
      </c>
      <c r="B116" s="57" t="inlineStr">
        <is>
          <t>PLANTA DE CAL</t>
        </is>
      </c>
      <c r="C116" s="57" t="n"/>
      <c r="D116" s="57" t="inlineStr">
        <is>
          <t>ELÉTRICA</t>
        </is>
      </c>
      <c r="E116" s="57" t="inlineStr">
        <is>
          <t>Montagem de Infraestrura de Força / Controle</t>
        </is>
      </c>
      <c r="F116" s="57" t="inlineStr">
        <is>
          <t>Liberação de área</t>
        </is>
      </c>
      <c r="G116" s="57" t="inlineStr">
        <is>
          <t>Segurança / SMS</t>
        </is>
      </c>
      <c r="H116" s="57" t="inlineStr">
        <is>
          <t>Verificar procedimentos para liberação de área</t>
        </is>
      </c>
      <c r="I116" s="57" t="inlineStr">
        <is>
          <t>Tatiane</t>
        </is>
      </c>
      <c r="J116" s="57" t="inlineStr">
        <is>
          <t>MCM</t>
        </is>
      </c>
      <c r="K116" s="58" t="n">
        <v>46277</v>
      </c>
      <c r="L116" s="58" t="n">
        <v>46290</v>
      </c>
      <c r="M116" s="57" t="inlineStr">
        <is>
          <t>Aberta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n">
        <v>111</v>
      </c>
      <c r="B117" s="57" t="inlineStr">
        <is>
          <t>PLANTA DE CAL</t>
        </is>
      </c>
      <c r="C117" s="57" t="n"/>
      <c r="D117" s="57" t="inlineStr">
        <is>
          <t>ELÉTRICA</t>
        </is>
      </c>
      <c r="E117" s="57" t="inlineStr">
        <is>
          <t>Lançamento de Cabos</t>
        </is>
      </c>
      <c r="F117" s="57" t="inlineStr">
        <is>
          <t>Plano de corte</t>
        </is>
      </c>
      <c r="G117" s="57" t="inlineStr">
        <is>
          <t>Projeto / Engenharia</t>
        </is>
      </c>
      <c r="H117" s="57" t="inlineStr">
        <is>
          <t>Verificar/solicitar plano de corte à Engenharia Nexa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46286</v>
      </c>
      <c r="M117" s="57" t="inlineStr">
        <is>
          <t>Aberta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n">
        <v>112</v>
      </c>
      <c r="B118" s="57" t="inlineStr">
        <is>
          <t>PLANTA DE CAL</t>
        </is>
      </c>
      <c r="C118" s="57" t="n"/>
      <c r="D118" s="57" t="inlineStr">
        <is>
          <t>INSTRUMENTAÇÃO</t>
        </is>
      </c>
      <c r="E118" s="57" t="inlineStr">
        <is>
          <t>Montagem de Infraestrura de Instrumentos</t>
        </is>
      </c>
      <c r="F118" s="57" t="inlineStr">
        <is>
          <t>Material aplicado (eletrodutos, conduletes, suportes, etc)</t>
        </is>
      </c>
      <c r="G118" s="57" t="inlineStr">
        <is>
          <t>Suprimentos</t>
        </is>
      </c>
      <c r="H118" s="57" t="inlineStr">
        <is>
          <t>Garantir que o material chegue na data necessária</t>
        </is>
      </c>
      <c r="I118" s="57" t="inlineStr">
        <is>
          <t>Rubens</t>
        </is>
      </c>
      <c r="J118" s="57" t="inlineStr">
        <is>
          <t>MCM</t>
        </is>
      </c>
      <c r="K118" s="58" t="n">
        <v>46277</v>
      </c>
      <c r="L118" s="58" t="n">
        <v>46315</v>
      </c>
      <c r="M118" s="57" t="inlineStr">
        <is>
          <t>Aberta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n">
        <v>113</v>
      </c>
      <c r="B119" s="57" t="inlineStr">
        <is>
          <t>PLANTA DE CAL</t>
        </is>
      </c>
      <c r="C119" s="57" t="n"/>
      <c r="D119" s="57" t="inlineStr">
        <is>
          <t>INSTRUMENTAÇÃO</t>
        </is>
      </c>
      <c r="E119" s="57" t="inlineStr">
        <is>
          <t>Montagem de Infraestrura de Instrumentos</t>
        </is>
      </c>
      <c r="F119" s="57" t="inlineStr">
        <is>
          <t>Projetos para montagem de infra</t>
        </is>
      </c>
      <c r="G119" s="57" t="inlineStr">
        <is>
          <t>Projeto / Engenharia</t>
        </is>
      </c>
      <c r="H119" s="57" t="inlineStr">
        <is>
          <t>Avaliar projetos e identificar restrições</t>
        </is>
      </c>
      <c r="I119" s="57" t="inlineStr">
        <is>
          <t>Jean</t>
        </is>
      </c>
      <c r="J119" s="57" t="inlineStr">
        <is>
          <t>MCM</t>
        </is>
      </c>
      <c r="K119" s="58" t="n">
        <v>46277</v>
      </c>
      <c r="L119" s="58" t="n">
        <v>46286</v>
      </c>
      <c r="M119" s="57" t="inlineStr">
        <is>
          <t>Aberta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n">
        <v>115</v>
      </c>
      <c r="B120" s="57" t="inlineStr">
        <is>
          <t>PLANTA DE CAL</t>
        </is>
      </c>
      <c r="C120" s="57" t="n"/>
      <c r="D120" s="57" t="inlineStr">
        <is>
          <t>INSTRUMENTAÇÃO</t>
        </is>
      </c>
      <c r="E120" s="57" t="inlineStr">
        <is>
          <t>Lançamento de cabos de Instrumentos</t>
        </is>
      </c>
      <c r="F120" s="57" t="inlineStr">
        <is>
          <t>Plano de corte</t>
        </is>
      </c>
      <c r="G120" s="57" t="inlineStr">
        <is>
          <t>Projeto / Engenharia</t>
        </is>
      </c>
      <c r="H120" s="57" t="inlineStr">
        <is>
          <t>Verificar/solicitar plano de corte à Engenharia Nexa</t>
        </is>
      </c>
      <c r="I120" s="57" t="inlineStr">
        <is>
          <t>Jean</t>
        </is>
      </c>
      <c r="J120" s="57" t="inlineStr">
        <is>
          <t>MCM</t>
        </is>
      </c>
      <c r="K120" s="58" t="n">
        <v>46277</v>
      </c>
      <c r="L120" s="58" t="n">
        <v>46286</v>
      </c>
      <c r="M120" s="57" t="inlineStr">
        <is>
          <t>Aberta</t>
        </is>
      </c>
      <c r="N120" s="57" t="inlineStr">
        <is>
          <t>Média</t>
        </is>
      </c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n">
        <v>116</v>
      </c>
      <c r="B121" s="57" t="inlineStr">
        <is>
          <t>PLANTA DE CAL</t>
        </is>
      </c>
      <c r="C121" s="57" t="n"/>
      <c r="D121" s="57" t="inlineStr">
        <is>
          <t>INSTRUMENTAÇÃO</t>
        </is>
      </c>
      <c r="E121" s="57" t="inlineStr">
        <is>
          <t>Lançamento de cabos de Instrumentos</t>
        </is>
      </c>
      <c r="F121" s="57" t="inlineStr">
        <is>
          <t>Material (cabos)</t>
        </is>
      </c>
      <c r="G121" s="57" t="inlineStr">
        <is>
          <t>Materiais</t>
        </is>
      </c>
      <c r="H121" s="57" t="inlineStr">
        <is>
          <t>Verificar fornecimento</t>
        </is>
      </c>
      <c r="I121" s="57" t="inlineStr">
        <is>
          <t>Jean</t>
        </is>
      </c>
      <c r="J121" s="57" t="inlineStr">
        <is>
          <t>MCM</t>
        </is>
      </c>
      <c r="K121" s="58" t="n">
        <v>46277</v>
      </c>
      <c r="L121" s="58" t="n">
        <v>46279</v>
      </c>
      <c r="M121" s="57" t="inlineStr">
        <is>
          <t>Aberta</t>
        </is>
      </c>
      <c r="N121" s="57" t="inlineStr">
        <is>
          <t>Média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n">
        <v>117</v>
      </c>
      <c r="B122" s="57" t="inlineStr">
        <is>
          <t>ELETROCENTRO</t>
        </is>
      </c>
      <c r="C122" s="57" t="n"/>
      <c r="D122" s="57" t="inlineStr">
        <is>
          <t>ELÉTRICA</t>
        </is>
      </c>
      <c r="E122" s="57" t="inlineStr">
        <is>
          <t>Radiê do Eletrocentro</t>
        </is>
      </c>
      <c r="F122" s="57" t="inlineStr">
        <is>
          <t>Material aplicado (eletrodutos, conduletes, suportes, etc)</t>
        </is>
      </c>
      <c r="G122" s="57" t="inlineStr">
        <is>
          <t>Suprimentos</t>
        </is>
      </c>
      <c r="H122" s="57" t="inlineStr">
        <is>
          <t>Garantir que o material chegue na data necessária</t>
        </is>
      </c>
      <c r="I122" s="57" t="inlineStr">
        <is>
          <t>Rubens</t>
        </is>
      </c>
      <c r="J122" s="57" t="inlineStr">
        <is>
          <t>MCM</t>
        </is>
      </c>
      <c r="K122" s="58" t="n">
        <v>46277</v>
      </c>
      <c r="L122" s="58" t="n">
        <v>46295</v>
      </c>
      <c r="M122" s="57" t="inlineStr">
        <is>
          <t>Aberta</t>
        </is>
      </c>
      <c r="N122" s="57" t="inlineStr">
        <is>
          <t>Média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n">
        <v>118</v>
      </c>
      <c r="B123" s="57" t="inlineStr">
        <is>
          <t>ELETROCENTRO</t>
        </is>
      </c>
      <c r="C123" s="57" t="n"/>
      <c r="D123" s="57" t="inlineStr">
        <is>
          <t>ELÉTRICA</t>
        </is>
      </c>
      <c r="E123" s="57" t="inlineStr">
        <is>
          <t>Radiê do Eletrocentro</t>
        </is>
      </c>
      <c r="F123" s="57" t="inlineStr">
        <is>
          <t>Aterramento</t>
        </is>
      </c>
      <c r="G123" s="57" t="inlineStr">
        <is>
          <t>Suprimentos</t>
        </is>
      </c>
      <c r="H123" s="57" t="inlineStr">
        <is>
          <t>Material (Cabo de cobre nu)</t>
        </is>
      </c>
      <c r="I123" s="57" t="inlineStr">
        <is>
          <t>Rubens</t>
        </is>
      </c>
      <c r="J123" s="57" t="inlineStr">
        <is>
          <t>MCM</t>
        </is>
      </c>
      <c r="K123" s="58" t="n">
        <v>46277</v>
      </c>
      <c r="L123" s="58" t="n">
        <v>46295</v>
      </c>
      <c r="M123" s="57" t="inlineStr">
        <is>
          <t>Aberta</t>
        </is>
      </c>
      <c r="N123" s="57" t="inlineStr">
        <is>
          <t>Média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>
      <c r="A124" s="57" t="n">
        <v>119</v>
      </c>
      <c r="B124" s="57" t="inlineStr">
        <is>
          <t>ELETROCENTRO</t>
        </is>
      </c>
      <c r="C124" s="57" t="n"/>
      <c r="D124" s="57" t="inlineStr">
        <is>
          <t>ELÉTRICA</t>
        </is>
      </c>
      <c r="E124" s="57" t="inlineStr">
        <is>
          <t>Radiê do Eletrocentro</t>
        </is>
      </c>
      <c r="F124" s="57" t="inlineStr">
        <is>
          <t>Projetos</t>
        </is>
      </c>
      <c r="G124" s="57" t="inlineStr">
        <is>
          <t>Projeto / Engenharia</t>
        </is>
      </c>
      <c r="H124" s="57" t="inlineStr">
        <is>
          <t>Verificar projeto de aterramento do Eletrocentro</t>
        </is>
      </c>
      <c r="I124" s="57" t="inlineStr">
        <is>
          <t>Jean</t>
        </is>
      </c>
      <c r="J124" s="57" t="inlineStr">
        <is>
          <t>MCM</t>
        </is>
      </c>
      <c r="K124" s="58" t="n">
        <v>46277</v>
      </c>
      <c r="L124" s="58" t="n">
        <v>46286</v>
      </c>
      <c r="M124" s="57" t="inlineStr">
        <is>
          <t>Aberta</t>
        </is>
      </c>
      <c r="N124" s="57" t="inlineStr">
        <is>
          <t>Média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n">
        <v>120</v>
      </c>
      <c r="B125" s="57" t="inlineStr">
        <is>
          <t>GERAL</t>
        </is>
      </c>
      <c r="C125" s="57" t="n"/>
      <c r="D125" s="57" t="inlineStr">
        <is>
          <t>GERAL</t>
        </is>
      </c>
      <c r="E125" s="57" t="inlineStr">
        <is>
          <t>Geral</t>
        </is>
      </c>
      <c r="F125" s="57" t="inlineStr">
        <is>
          <t>Montagem de andaimes</t>
        </is>
      </c>
      <c r="G125" s="57" t="inlineStr">
        <is>
          <t>Mão de Obra</t>
        </is>
      </c>
      <c r="H125" s="57" t="inlineStr">
        <is>
          <t>Abrir RMO para 06 Montadores de andaimes</t>
        </is>
      </c>
      <c r="I125" s="57" t="inlineStr">
        <is>
          <t>Gustavo</t>
        </is>
      </c>
      <c r="J125" s="57" t="inlineStr">
        <is>
          <t>MCM</t>
        </is>
      </c>
      <c r="K125" s="58" t="n">
        <v>46277</v>
      </c>
      <c r="L125" s="58" t="n">
        <v>46279</v>
      </c>
      <c r="M125" s="57" t="inlineStr">
        <is>
          <t>Aberta</t>
        </is>
      </c>
      <c r="N125" s="57" t="inlineStr">
        <is>
          <t>Alta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Impedimento das atividades</t>
        </is>
      </c>
    </row>
    <row r="126" ht="30" customHeight="1">
      <c r="A126" s="57" t="n">
        <v>121</v>
      </c>
      <c r="B126" s="57" t="inlineStr">
        <is>
          <t>GERAL</t>
        </is>
      </c>
      <c r="C126" s="57" t="n"/>
      <c r="D126" s="57" t="inlineStr">
        <is>
          <t>GERAL</t>
        </is>
      </c>
      <c r="E126" s="57" t="inlineStr">
        <is>
          <t>Geral</t>
        </is>
      </c>
      <c r="F126" s="57" t="inlineStr">
        <is>
          <t>Limpeza do Galpão</t>
        </is>
      </c>
      <c r="G126" s="57" t="inlineStr">
        <is>
          <t>Mão de Obra</t>
        </is>
      </c>
      <c r="H126" s="57" t="inlineStr">
        <is>
          <t>Abrir RMO para 01 auxiliar de serviços gerais</t>
        </is>
      </c>
      <c r="I126" s="57" t="inlineStr">
        <is>
          <t>Gustavo</t>
        </is>
      </c>
      <c r="J126" s="57" t="inlineStr">
        <is>
          <t>MCM</t>
        </is>
      </c>
      <c r="K126" s="58" t="n">
        <v>46277</v>
      </c>
      <c r="L126" s="58" t="n">
        <v>46279</v>
      </c>
      <c r="M126" s="57" t="inlineStr">
        <is>
          <t>Aberta</t>
        </is>
      </c>
      <c r="N126" s="57" t="inlineStr">
        <is>
          <t>Alta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Impedimento das atividades</t>
        </is>
      </c>
    </row>
    <row r="127" ht="30" customHeight="1">
      <c r="A127" s="57" t="n">
        <v>122</v>
      </c>
      <c r="B127" s="57" t="inlineStr">
        <is>
          <t>GERAL</t>
        </is>
      </c>
      <c r="C127" s="57" t="n"/>
      <c r="D127" s="57" t="inlineStr">
        <is>
          <t>GERAL</t>
        </is>
      </c>
      <c r="E127" s="57" t="inlineStr">
        <is>
          <t>Geral</t>
        </is>
      </c>
      <c r="F127" s="57" t="inlineStr">
        <is>
          <t>Martelete + brocas suficientes para chumbadores</t>
        </is>
      </c>
      <c r="G127" s="57" t="inlineStr">
        <is>
          <t>Materiais</t>
        </is>
      </c>
      <c r="H127" s="57" t="inlineStr">
        <is>
          <t>Levantamento de martelete e brocas para fixação de chumbadores (total)</t>
        </is>
      </c>
      <c r="I127" s="57" t="inlineStr">
        <is>
          <t>Sidney</t>
        </is>
      </c>
      <c r="J127" s="57" t="inlineStr">
        <is>
          <t>MCM</t>
        </is>
      </c>
      <c r="K127" s="58" t="n">
        <v>46277</v>
      </c>
      <c r="L127" s="58" t="n">
        <v>46281</v>
      </c>
      <c r="M127" s="57" t="inlineStr">
        <is>
          <t>Aberta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inlineStr">
        <is>
          <t>Impedimento das atividades</t>
        </is>
      </c>
    </row>
    <row r="128" ht="30" customHeight="1">
      <c r="A128" s="57" t="n">
        <v>123</v>
      </c>
      <c r="B128" s="57" t="inlineStr">
        <is>
          <t>GERAL</t>
        </is>
      </c>
      <c r="C128" s="57" t="n"/>
      <c r="D128" s="57" t="inlineStr">
        <is>
          <t>GERAL</t>
        </is>
      </c>
      <c r="E128" s="57" t="inlineStr">
        <is>
          <t>Geral</t>
        </is>
      </c>
      <c r="F128" s="57" t="inlineStr">
        <is>
          <t>Contratação PTA</t>
        </is>
      </c>
      <c r="G128" s="57" t="inlineStr">
        <is>
          <t>Segurança / SMS</t>
        </is>
      </c>
      <c r="H128" s="57" t="inlineStr">
        <is>
          <t>Verificar os treinamentos necessários para operação de PTA</t>
        </is>
      </c>
      <c r="I128" s="57" t="inlineStr">
        <is>
          <t>Nadia</t>
        </is>
      </c>
      <c r="J128" s="57" t="inlineStr">
        <is>
          <t>MCM</t>
        </is>
      </c>
      <c r="K128" s="58" t="n">
        <v>46277</v>
      </c>
      <c r="L128" s="58" t="n">
        <v>46281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Impedimento das atividades</t>
        </is>
      </c>
    </row>
    <row r="129" ht="30" customHeight="1">
      <c r="A129" s="57" t="inlineStr">
        <is>
          <t>124</t>
        </is>
      </c>
      <c r="B129" s="57" t="inlineStr">
        <is>
          <t>GERAL</t>
        </is>
      </c>
      <c r="C129" s="57" t="n"/>
      <c r="D129" s="57" t="inlineStr">
        <is>
          <t>ANDAIMES</t>
        </is>
      </c>
      <c r="E129" s="57" t="inlineStr">
        <is>
          <t>Garantir RMO-011 (01 Encarregado + 6 Montadores)</t>
        </is>
      </c>
      <c r="F129" s="57" t="inlineStr">
        <is>
          <t>Mão de obra Andaimes</t>
        </is>
      </c>
      <c r="G129" s="57" t="inlineStr">
        <is>
          <t>Mão de obra</t>
        </is>
      </c>
      <c r="H129" s="57" t="inlineStr">
        <is>
          <t>Recrutar MDO Andaimes</t>
        </is>
      </c>
      <c r="I129" s="57" t="inlineStr">
        <is>
          <t>Eduardo</t>
        </is>
      </c>
      <c r="J129" s="57" t="inlineStr">
        <is>
          <t>MCM</t>
        </is>
      </c>
      <c r="K129" s="58" t="n">
        <v>46279</v>
      </c>
      <c r="L129" s="58" t="n">
        <v>46315</v>
      </c>
      <c r="M129" s="57" t="inlineStr">
        <is>
          <t>Aberta</t>
        </is>
      </c>
      <c r="N129" s="57" t="inlineStr">
        <is>
          <t>Alta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Impacto nas atividades de tubulação/estruturas e elétrica</t>
        </is>
      </c>
    </row>
    <row r="130" ht="30" customHeight="1">
      <c r="A130" s="57" t="inlineStr">
        <is>
          <t>125</t>
        </is>
      </c>
      <c r="B130" s="57" t="inlineStr">
        <is>
          <t>GERAL</t>
        </is>
      </c>
      <c r="C130" s="57" t="n"/>
      <c r="D130" s="57" t="inlineStr">
        <is>
          <t>ANDAIMES</t>
        </is>
      </c>
      <c r="E130" s="57" t="inlineStr">
        <is>
          <t>Garantir RMO-011 (01 Encarregado + 6 Montadores)</t>
        </is>
      </c>
      <c r="F130" s="57" t="inlineStr">
        <is>
          <t>Mão de obra Andaimes</t>
        </is>
      </c>
      <c r="G130" s="57" t="inlineStr">
        <is>
          <t>Mão de obra</t>
        </is>
      </c>
      <c r="H130" s="57" t="inlineStr">
        <is>
          <t>Recrutar MDO Andaimes</t>
        </is>
      </c>
      <c r="I130" s="57" t="inlineStr">
        <is>
          <t>Eduardo</t>
        </is>
      </c>
      <c r="J130" s="57" t="inlineStr">
        <is>
          <t>MCM</t>
        </is>
      </c>
      <c r="K130" s="58" t="n">
        <v>46279</v>
      </c>
      <c r="L130" s="58" t="n">
        <v>46315</v>
      </c>
      <c r="M130" s="57" t="inlineStr">
        <is>
          <t>Cancelada</t>
        </is>
      </c>
      <c r="N130" s="57" t="inlineStr">
        <is>
          <t>Alta</t>
        </is>
      </c>
      <c r="O130" s="57">
        <f>IF(K130="","",IF(M130="Concluída","",TODAY()-K130))</f>
        <v/>
      </c>
      <c r="P130" s="57">
        <f>IF(L130="","",L130-TODAY())</f>
        <v/>
      </c>
      <c r="Q130" s="57" t="inlineStr">
        <is>
          <t>Impacto nas atividades de tubulação/estruturas e elétrica</t>
        </is>
      </c>
    </row>
    <row r="131" ht="30" customHeight="1">
      <c r="A131" s="57" t="inlineStr">
        <is>
          <t>126</t>
        </is>
      </c>
      <c r="B131" s="57" t="inlineStr">
        <is>
          <t>GERAL</t>
        </is>
      </c>
      <c r="C131" s="57" t="n"/>
      <c r="D131" s="57" t="inlineStr">
        <is>
          <t>ANDAIMES</t>
        </is>
      </c>
      <c r="E131" s="57" t="inlineStr">
        <is>
          <t>Solicitar Book de andaimes + ART da obra</t>
        </is>
      </c>
      <c r="F131" s="57" t="inlineStr">
        <is>
          <t>Book de andaimes da obra</t>
        </is>
      </c>
      <c r="G131" s="57" t="n"/>
      <c r="H131" s="57" t="inlineStr">
        <is>
          <t>Formalizar solicitação para recebimento do book de andaimes da obra + ART.</t>
        </is>
      </c>
      <c r="I131" s="57" t="inlineStr">
        <is>
          <t>Gustavo</t>
        </is>
      </c>
      <c r="J131" s="57" t="inlineStr">
        <is>
          <t>MCM</t>
        </is>
      </c>
      <c r="K131" s="58" t="n">
        <v>46279</v>
      </c>
      <c r="L131" s="58" t="n">
        <v>46295</v>
      </c>
      <c r="M131" s="57" t="inlineStr">
        <is>
          <t>Aberta</t>
        </is>
      </c>
      <c r="N131" s="57" t="inlineStr">
        <is>
          <t>Média</t>
        </is>
      </c>
      <c r="O131" s="57">
        <f>IF(K131="","",IF(M131="Concluída","",TODAY()-K131))</f>
        <v/>
      </c>
      <c r="P131" s="57">
        <f>IF(L131="","",L131-TODAY())</f>
        <v/>
      </c>
      <c r="Q131" s="57" t="inlineStr">
        <is>
          <t>Impacto de não liberação de atividades de andaimes</t>
        </is>
      </c>
    </row>
    <row r="132" ht="30" customHeight="1">
      <c r="A132" s="57" t="inlineStr">
        <is>
          <t>127</t>
        </is>
      </c>
      <c r="B132" s="57" t="inlineStr">
        <is>
          <t>QA</t>
        </is>
      </c>
      <c r="C132" s="57" t="n"/>
      <c r="D132" s="57" t="inlineStr">
        <is>
          <t>Teste</t>
        </is>
      </c>
      <c r="E132" s="57" t="inlineStr">
        <is>
          <t>Validação reabertura</t>
        </is>
      </c>
      <c r="F132" s="57" t="inlineStr">
        <is>
          <t>TESTE FUNCIONAL REABERTURA 2026-09-14</t>
        </is>
      </c>
      <c r="G132" s="57" t="n"/>
      <c r="H132" s="57" t="n"/>
      <c r="I132" s="57" t="inlineStr">
        <is>
          <t>Codex QA</t>
        </is>
      </c>
      <c r="J132" s="57" t="inlineStr">
        <is>
          <t>MCM</t>
        </is>
      </c>
      <c r="K132" s="58" t="n">
        <v>46279</v>
      </c>
      <c r="L132" s="58" t="n">
        <v>46280</v>
      </c>
      <c r="M132" s="57" t="inlineStr">
        <is>
          <t>Aberta</t>
        </is>
      </c>
      <c r="N132" s="57" t="inlineStr">
        <is>
          <t>Baixa</t>
        </is>
      </c>
      <c r="O132" s="57">
        <f>IF(K132="","",IF(M132="Concluída","",TODAY()-K132))</f>
        <v/>
      </c>
      <c r="P132" s="57">
        <f>IF(L132="","",L132-TODAY())</f>
        <v/>
      </c>
      <c r="Q132" s="57" t="n"/>
    </row>
    <row r="133" ht="30" customHeight="1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  <c r="K133" s="58" t="n"/>
      <c r="L133" s="58" t="n"/>
      <c r="M133" s="57" t="n"/>
      <c r="N133" s="57" t="n"/>
      <c r="O133" s="57">
        <f>IF(K136="","",IF(M136="Concluída","",TODAY()-K136))</f>
        <v/>
      </c>
      <c r="P133" s="57">
        <f>IF(L136="","",L136-TODAY())</f>
        <v/>
      </c>
      <c r="Q133" s="57" t="n"/>
    </row>
    <row r="134" ht="30" customHeight="1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  <c r="K134" s="58" t="n"/>
      <c r="L134" s="58" t="n"/>
      <c r="M134" s="57" t="n"/>
      <c r="N134" s="57" t="n"/>
      <c r="O134" s="57">
        <f>IF(K137="","",IF(M137="Concluída","",TODAY()-K137))</f>
        <v/>
      </c>
      <c r="P134" s="57">
        <f>IF(L137="","",L137-TODAY())</f>
        <v/>
      </c>
      <c r="Q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  <c r="K135" s="58" t="n"/>
      <c r="L135" s="58" t="n"/>
      <c r="M135" s="57" t="n"/>
      <c r="N135" s="57" t="n"/>
      <c r="O135" s="57">
        <f>IF(K138="","",IF(M138="Concluída","",TODAY()-K138))</f>
        <v/>
      </c>
      <c r="P135" s="57">
        <f>IF(L138="","",L138-TODAY())</f>
        <v/>
      </c>
      <c r="Q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  <c r="K136" s="58" t="n"/>
      <c r="L136" s="58" t="n"/>
      <c r="M136" s="57" t="n"/>
      <c r="N136" s="57" t="n"/>
      <c r="O136" s="57">
        <f>IF(K139="","",IF(M139="Concluída","",TODAY()-K139))</f>
        <v/>
      </c>
      <c r="P136" s="57">
        <f>IF(L139="","",L139-TODAY())</f>
        <v/>
      </c>
      <c r="Q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  <c r="K137" s="58" t="n"/>
      <c r="L137" s="58" t="n"/>
      <c r="M137" s="57" t="n"/>
      <c r="N137" s="57" t="n"/>
      <c r="O137" s="57">
        <f>IF(K140="","",IF(M140="Concluída","",TODAY()-K140))</f>
        <v/>
      </c>
      <c r="P137" s="57">
        <f>IF(L140="","",L140-TODAY())</f>
        <v/>
      </c>
      <c r="Q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  <c r="K138" s="58" t="n"/>
      <c r="L138" s="58" t="n"/>
      <c r="M138" s="57" t="n"/>
      <c r="N138" s="57" t="n"/>
      <c r="O138" s="57">
        <f>IF(K141="","",IF(M141="Concluída","",TODAY()-K141))</f>
        <v/>
      </c>
      <c r="P138" s="57">
        <f>IF(L141="","",L141-TODAY())</f>
        <v/>
      </c>
      <c r="Q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  <c r="K139" s="58" t="n"/>
      <c r="L139" s="58" t="n"/>
      <c r="M139" s="57" t="n"/>
      <c r="N139" s="57" t="n"/>
      <c r="O139" s="57">
        <f>IF(K142="","",IF(M142="Concluída","",TODAY()-K142))</f>
        <v/>
      </c>
      <c r="P139" s="57">
        <f>IF(L142="","",L142-TODAY())</f>
        <v/>
      </c>
      <c r="Q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  <c r="K140" s="58" t="n"/>
      <c r="L140" s="58" t="n"/>
      <c r="M140" s="57" t="n"/>
      <c r="N140" s="57" t="n"/>
      <c r="O140" s="57">
        <f>IF(K143="","",IF(M143="Concluída","",TODAY()-K143))</f>
        <v/>
      </c>
      <c r="P140" s="57">
        <f>IF(L143="","",L143-TODAY())</f>
        <v/>
      </c>
      <c r="Q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  <c r="K141" s="58" t="n"/>
      <c r="L141" s="58" t="n"/>
      <c r="M141" s="57" t="n"/>
      <c r="N141" s="57" t="n"/>
      <c r="O141" s="57">
        <f>IF(K144="","",IF(M144="Concluída","",TODAY()-K144))</f>
        <v/>
      </c>
      <c r="P141" s="57">
        <f>IF(L144="","",L144-TODAY())</f>
        <v/>
      </c>
      <c r="Q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  <c r="K142" s="58" t="n"/>
      <c r="L142" s="58" t="n"/>
      <c r="M142" s="57" t="n"/>
      <c r="N142" s="57" t="n"/>
      <c r="O142" s="57">
        <f>IF(K145="","",IF(M145="Concluída","",TODAY()-K145))</f>
        <v/>
      </c>
      <c r="P142" s="57">
        <f>IF(L145="","",L145-TODAY())</f>
        <v/>
      </c>
      <c r="Q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  <c r="K143" s="58" t="n"/>
      <c r="L143" s="58" t="n"/>
      <c r="M143" s="57" t="n"/>
      <c r="N143" s="57" t="n"/>
      <c r="O143" s="57">
        <f>IF(K146="","",IF(M146="Concluída","",TODAY()-K146))</f>
        <v/>
      </c>
      <c r="P143" s="57">
        <f>IF(L146="","",L146-TODAY())</f>
        <v/>
      </c>
      <c r="Q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  <c r="K144" s="58" t="n"/>
      <c r="L144" s="58" t="n"/>
      <c r="M144" s="57" t="n"/>
      <c r="N144" s="57" t="n"/>
      <c r="O144" s="57">
        <f>IF(K147="","",IF(M147="Concluída","",TODAY()-K147))</f>
        <v/>
      </c>
      <c r="P144" s="57">
        <f>IF(L147="","",L147-TODAY())</f>
        <v/>
      </c>
      <c r="Q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  <c r="K145" s="58" t="n"/>
      <c r="L145" s="58" t="n"/>
      <c r="M145" s="57" t="n"/>
      <c r="N145" s="57" t="n"/>
      <c r="O145" s="57">
        <f>IF(K148="","",IF(M148="Concluída","",TODAY()-K148))</f>
        <v/>
      </c>
      <c r="P145" s="57">
        <f>IF(L148="","",L148-TODAY())</f>
        <v/>
      </c>
      <c r="Q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  <c r="K146" s="58" t="n"/>
      <c r="L146" s="58" t="n"/>
      <c r="M146" s="57" t="n"/>
      <c r="N146" s="57" t="n"/>
      <c r="O146" s="57">
        <f>IF(K149="","",IF(M149="Concluída","",TODAY()-K149))</f>
        <v/>
      </c>
      <c r="P146" s="57">
        <f>IF(L149="","",L149-TODAY())</f>
        <v/>
      </c>
      <c r="Q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  <c r="K147" s="58" t="n"/>
      <c r="L147" s="58" t="n"/>
      <c r="M147" s="57" t="n"/>
      <c r="N147" s="57" t="n"/>
      <c r="O147" s="57">
        <f>IF(K150="","",IF(M150="Concluída","",TODAY()-K150))</f>
        <v/>
      </c>
      <c r="P147" s="57">
        <f>IF(L150="","",L150-TODAY())</f>
        <v/>
      </c>
      <c r="Q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  <c r="K148" s="58" t="n"/>
      <c r="L148" s="58" t="n"/>
      <c r="M148" s="57" t="n"/>
      <c r="N148" s="57" t="n"/>
      <c r="O148" s="57">
        <f>IF(K151="","",IF(M151="Concluída","",TODAY()-K151))</f>
        <v/>
      </c>
      <c r="P148" s="57">
        <f>IF(L151="","",L151-TODAY())</f>
        <v/>
      </c>
      <c r="Q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  <c r="K149" s="58" t="n"/>
      <c r="L149" s="58" t="n"/>
      <c r="M149" s="57" t="n"/>
      <c r="N149" s="57" t="n"/>
      <c r="O149" s="57">
        <f>IF(K152="","",IF(M152="Concluída","",TODAY()-K152))</f>
        <v/>
      </c>
      <c r="P149" s="57">
        <f>IF(L152="","",L152-TODAY())</f>
        <v/>
      </c>
      <c r="Q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  <c r="K150" s="58" t="n"/>
      <c r="L150" s="58" t="n"/>
      <c r="M150" s="57" t="n"/>
      <c r="N150" s="57" t="n"/>
      <c r="O150" s="57">
        <f>IF(K153="","",IF(M153="Concluída","",TODAY()-K153))</f>
        <v/>
      </c>
      <c r="P150" s="57">
        <f>IF(L153="","",L153-TODAY())</f>
        <v/>
      </c>
      <c r="Q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  <c r="K151" s="58" t="n"/>
      <c r="L151" s="58" t="n"/>
      <c r="M151" s="57" t="n"/>
      <c r="N151" s="57" t="n"/>
      <c r="O151" s="57">
        <f>IF(K154="","",IF(M154="Concluída","",TODAY()-K154))</f>
        <v/>
      </c>
      <c r="P151" s="57">
        <f>IF(L154="","",L154-TODAY())</f>
        <v/>
      </c>
      <c r="Q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  <c r="K152" s="58" t="n"/>
      <c r="L152" s="58" t="n"/>
      <c r="M152" s="57" t="n"/>
      <c r="N152" s="57" t="n"/>
      <c r="O152" s="57">
        <f>IF(K155="","",IF(M155="Concluída","",TODAY()-K155))</f>
        <v/>
      </c>
      <c r="P152" s="57">
        <f>IF(L155="","",L155-TODAY())</f>
        <v/>
      </c>
      <c r="Q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  <c r="K153" s="58" t="n"/>
      <c r="L153" s="58" t="n"/>
      <c r="M153" s="57" t="n"/>
      <c r="N153" s="57" t="n"/>
      <c r="O153" s="57">
        <f>IF(K156="","",IF(M156="Concluída","",TODAY()-K156))</f>
        <v/>
      </c>
      <c r="P153" s="57">
        <f>IF(L156="","",L156-TODAY())</f>
        <v/>
      </c>
      <c r="Q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  <c r="K154" s="58" t="n"/>
      <c r="L154" s="58" t="n"/>
      <c r="M154" s="57" t="n"/>
      <c r="N154" s="57" t="n"/>
      <c r="O154" s="57">
        <f>IF(K157="","",IF(M157="Concluída","",TODAY()-K157))</f>
        <v/>
      </c>
      <c r="P154" s="57">
        <f>IF(L157="","",L157-TODAY())</f>
        <v/>
      </c>
      <c r="Q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  <c r="K155" s="58" t="n"/>
      <c r="L155" s="58" t="n"/>
      <c r="M155" s="57" t="n"/>
      <c r="N155" s="57" t="n"/>
      <c r="O155" s="57">
        <f>IF(K158="","",IF(M158="Concluída","",TODAY()-K158))</f>
        <v/>
      </c>
      <c r="P155" s="57">
        <f>IF(L158="","",L158-TODAY())</f>
        <v/>
      </c>
      <c r="Q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  <c r="K156" s="58" t="n"/>
      <c r="L156" s="58" t="n"/>
      <c r="M156" s="57" t="n"/>
      <c r="N156" s="57" t="n"/>
      <c r="O156" s="57">
        <f>IF(K159="","",IF(M159="Concluída","",TODAY()-K159))</f>
        <v/>
      </c>
      <c r="P156" s="57">
        <f>IF(L159="","",L159-TODAY())</f>
        <v/>
      </c>
      <c r="Q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  <c r="K157" s="58" t="n"/>
      <c r="L157" s="58" t="n"/>
      <c r="M157" s="57" t="n"/>
      <c r="N157" s="57" t="n"/>
      <c r="O157" s="57">
        <f>IF(K160="","",IF(M160="Concluída","",TODAY()-K160))</f>
        <v/>
      </c>
      <c r="P157" s="57">
        <f>IF(L160="","",L160-TODAY())</f>
        <v/>
      </c>
      <c r="Q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  <c r="K158" s="58" t="n"/>
      <c r="L158" s="58" t="n"/>
      <c r="M158" s="57" t="n"/>
      <c r="N158" s="57" t="n"/>
      <c r="O158" s="57">
        <f>IF(K161="","",IF(M161="Concluída","",TODAY()-K161))</f>
        <v/>
      </c>
      <c r="P158" s="57">
        <f>IF(L161="","",L161-TODAY())</f>
        <v/>
      </c>
      <c r="Q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  <c r="K159" s="58" t="n"/>
      <c r="L159" s="58" t="n"/>
      <c r="M159" s="57" t="n"/>
      <c r="N159" s="57" t="n"/>
      <c r="O159" s="57">
        <f>IF(K162="","",IF(M162="Concluída","",TODAY()-K162))</f>
        <v/>
      </c>
      <c r="P159" s="57">
        <f>IF(L162="","",L162-TODAY())</f>
        <v/>
      </c>
      <c r="Q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  <c r="K160" s="58" t="n"/>
      <c r="L160" s="58" t="n"/>
      <c r="M160" s="57" t="n"/>
      <c r="N160" s="57" t="n"/>
      <c r="O160" s="57">
        <f>IF(K163="","",IF(M163="Concluída","",TODAY()-K163))</f>
        <v/>
      </c>
      <c r="P160" s="57">
        <f>IF(L163="","",L163-TODAY())</f>
        <v/>
      </c>
      <c r="Q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  <c r="K161" s="58" t="n"/>
      <c r="L161" s="58" t="n"/>
      <c r="M161" s="57" t="n"/>
      <c r="N161" s="57" t="n"/>
      <c r="O161" s="57">
        <f>IF(K164="","",IF(M164="Concluída","",TODAY()-K164))</f>
        <v/>
      </c>
      <c r="P161" s="57">
        <f>IF(L164="","",L164-TODAY())</f>
        <v/>
      </c>
      <c r="Q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58" t="n"/>
      <c r="L162" s="58" t="n"/>
      <c r="M162" s="57" t="n"/>
      <c r="N162" s="57" t="n"/>
      <c r="O162" s="57">
        <f>IF(K165="","",IF(M165="Concluída","",TODAY()-K165))</f>
        <v/>
      </c>
      <c r="P162" s="57">
        <f>IF(L165="","",L165-TODAY())</f>
        <v/>
      </c>
      <c r="Q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58" t="n"/>
      <c r="L163" s="58" t="n"/>
      <c r="M163" s="57" t="n"/>
      <c r="N163" s="57" t="n"/>
      <c r="O163" s="57">
        <f>IF(K166="","",IF(M166="Concluída","",TODAY()-K166))</f>
        <v/>
      </c>
      <c r="P163" s="57">
        <f>IF(L166="","",L166-TODAY())</f>
        <v/>
      </c>
      <c r="Q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8" t="n"/>
      <c r="L164" s="58" t="n"/>
      <c r="M164" s="57" t="n"/>
      <c r="N164" s="57" t="n"/>
      <c r="O164" s="57">
        <f>IF(K167="","",IF(M167="Concluída","",TODAY()-K167))</f>
        <v/>
      </c>
      <c r="P164" s="57">
        <f>IF(L167="","",L167-TODAY())</f>
        <v/>
      </c>
      <c r="Q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8" t="n"/>
      <c r="L165" s="58" t="n"/>
      <c r="M165" s="57" t="n"/>
      <c r="N165" s="57" t="n"/>
      <c r="O165" s="57">
        <f>IF(K168="","",IF(M168="Concluída","",TODAY()-K168))</f>
        <v/>
      </c>
      <c r="P165" s="57">
        <f>IF(L168="","",L168-TODAY())</f>
        <v/>
      </c>
      <c r="Q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8" t="n"/>
      <c r="L166" s="58" t="n"/>
      <c r="M166" s="57" t="n"/>
      <c r="N166" s="57" t="n"/>
      <c r="O166" s="57">
        <f>IF(K169="","",IF(M169="Concluída","",TODAY()-K169))</f>
        <v/>
      </c>
      <c r="P166" s="57">
        <f>IF(L169="","",L169-TODAY())</f>
        <v/>
      </c>
      <c r="Q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8" t="n"/>
      <c r="L167" s="58" t="n"/>
      <c r="M167" s="57" t="n"/>
      <c r="N167" s="57" t="n"/>
      <c r="O167" s="57">
        <f>IF(K170="","",IF(M170="Concluída","",TODAY()-K170))</f>
        <v/>
      </c>
      <c r="P167" s="57">
        <f>IF(L170="","",L170-TODAY())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IF(K171="","",IF(M171="Concluída","",TODAY()-K171))</f>
        <v/>
      </c>
      <c r="P168" s="57">
        <f>IF(L171="","",L171-TODAY())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IF(K172="","",IF(M172="Concluída","",TODAY()-K172))</f>
        <v/>
      </c>
      <c r="P169" s="57">
        <f>IF(L172="","",L172-TODAY())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IF(K173="","",IF(M173="Concluída","",TODAY()-K173))</f>
        <v/>
      </c>
      <c r="P170" s="57">
        <f>IF(L173="","",L173-TODAY())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IF(K174="","",IF(M174="Concluída","",TODAY()-K174))</f>
        <v/>
      </c>
      <c r="P171" s="57">
        <f>IF(L174="","",L174-TODAY())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IF(K175="","",IF(M175="Concluída","",TODAY()-K175))</f>
        <v/>
      </c>
      <c r="P172" s="57">
        <f>IF(L175="","",L175-TODAY())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IF(K176="","",IF(M176="Concluída","",TODAY()-K176))</f>
        <v/>
      </c>
      <c r="P173" s="57">
        <f>IF(L176="","",L176-TODAY())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IF(K177="","",IF(M177="Concluída","",TODAY()-K177))</f>
        <v/>
      </c>
      <c r="P174" s="57">
        <f>IF(L177="","",L177-TODAY())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IF(K178="","",IF(M178="Concluída","",TODAY()-K178))</f>
        <v/>
      </c>
      <c r="P175" s="57">
        <f>IF(L178="","",L178-TODAY())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IF(K179="","",IF(M179="Concluída","",TODAY()-K179))</f>
        <v/>
      </c>
      <c r="P176" s="57">
        <f>IF(L179="","",L179-TODAY())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IF(K180="","",IF(M180="Concluída","",TODAY()-K180))</f>
        <v/>
      </c>
      <c r="P177" s="57">
        <f>IF(L180="","",L180-TODAY())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IF(K181="","",IF(M181="Concluída","",TODAY()-K181))</f>
        <v/>
      </c>
      <c r="P178" s="57">
        <f>IF(L181="","",L181-TODAY())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IF(K182="","",IF(M182="Concluída","",TODAY()-K182))</f>
        <v/>
      </c>
      <c r="P179" s="57">
        <f>IF(L182="","",L182-TODAY())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IF(K183="","",IF(M183="Concluída","",TODAY()-K183))</f>
        <v/>
      </c>
      <c r="P180" s="57">
        <f>IF(L183="","",L183-TODAY())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IF(K184="","",IF(M184="Concluída","",TODAY()-K184))</f>
        <v/>
      </c>
      <c r="P181" s="57">
        <f>IF(L184="","",L184-TODAY())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IF(K185="","",IF(M185="Concluída","",TODAY()-K185))</f>
        <v/>
      </c>
      <c r="P182" s="57">
        <f>IF(L185="","",L185-TODAY())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IF(K186="","",IF(M186="Concluída","",TODAY()-K186))</f>
        <v/>
      </c>
      <c r="P183" s="57">
        <f>IF(L186="","",L186-TODAY())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IF(K187="","",IF(M187="Concluída","",TODAY()-K187))</f>
        <v/>
      </c>
      <c r="P184" s="57">
        <f>IF(L187="","",L187-TODAY())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IF(K188="","",IF(M188="Concluída","",TODAY()-K188))</f>
        <v/>
      </c>
      <c r="P185" s="57">
        <f>IF(L188="","",L188-TODAY())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IF(K189="","",IF(M189="Concluída","",TODAY()-K189))</f>
        <v/>
      </c>
      <c r="P186" s="57">
        <f>IF(L189="","",L189-TODAY())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IF(K190="","",IF(M190="Concluída","",TODAY()-K190))</f>
        <v/>
      </c>
      <c r="P187" s="57">
        <f>IF(L190="","",L190-TODAY())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IF(K191="","",IF(M191="Concluída","",TODAY()-K191))</f>
        <v/>
      </c>
      <c r="P188" s="57">
        <f>IF(L191="","",L191-TODAY())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IF(K192="","",IF(M192="Concluída","",TODAY()-K192))</f>
        <v/>
      </c>
      <c r="P189" s="57">
        <f>IF(L192="","",L192-TODAY())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IF(K193="","",IF(M193="Concluída","",TODAY()-K193))</f>
        <v/>
      </c>
      <c r="P190" s="57">
        <f>IF(L193="","",L193-TODAY())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IF(K194="","",IF(M194="Concluída","",TODAY()-K194))</f>
        <v/>
      </c>
      <c r="P191" s="57">
        <f>IF(L194="","",L194-TODAY())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IF(K195="","",IF(M195="Concluída","",TODAY()-K195))</f>
        <v/>
      </c>
      <c r="P192" s="57">
        <f>IF(L195="","",L195-TODAY())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IF(K196="","",IF(M196="Concluída","",TODAY()-K196))</f>
        <v/>
      </c>
      <c r="P193" s="57">
        <f>IF(L196="","",L196-TODAY())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IF(K197="","",IF(M197="Concluída","",TODAY()-K197))</f>
        <v/>
      </c>
      <c r="P194" s="57">
        <f>IF(L197="","",L197-TODAY())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IF(K198="","",IF(M198="Concluída","",TODAY()-K198))</f>
        <v/>
      </c>
      <c r="P195" s="57">
        <f>IF(L198="","",L198-TODAY())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IF(K199="","",IF(M199="Concluída","",TODAY()-K199))</f>
        <v/>
      </c>
      <c r="P196" s="57">
        <f>IF(L199="","",L199-TODAY())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IF(K200="","",IF(M200="Concluída","",TODAY()-K200))</f>
        <v/>
      </c>
      <c r="P197" s="57">
        <f>IF(L200="","",L200-TODAY())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IF(K201="","",IF(M201="Concluída","",TODAY()-K201))</f>
        <v/>
      </c>
      <c r="P198" s="57">
        <f>IF(L201="","",L201-TODAY())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IF(K202="","",IF(M202="Concluída","",TODAY()-K202))</f>
        <v/>
      </c>
      <c r="P199" s="57">
        <f>IF(L202="","",L202-TODAY())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IF(K203="","",IF(M203="Concluída","",TODAY()-K203))</f>
        <v/>
      </c>
      <c r="P200" s="57">
        <f>IF(L203="","",L203-TODAY())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IF(K204="","",IF(M204="Concluída","",TODAY()-K204))</f>
        <v/>
      </c>
      <c r="P201" s="57">
        <f>IF(L204="","",L204-TODAY())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IF(K205="","",IF(M205="Concluída","",TODAY()-K205))</f>
        <v/>
      </c>
      <c r="P202" s="57">
        <f>IF(L205="","",L205-TODAY())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IF(K206="","",IF(M206="Concluída","",TODAY()-K206))</f>
        <v/>
      </c>
      <c r="P203" s="57">
        <f>IF(L206="","",L206-TODAY())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IF(K207="","",IF(M207="Concluída","",TODAY()-K207))</f>
        <v/>
      </c>
      <c r="P204" s="57">
        <f>IF(L207="","",L207-TODAY())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IF(K208="","",IF(M208="Concluída","",TODAY()-K208))</f>
        <v/>
      </c>
      <c r="P205" s="57">
        <f>IF(L208="","",L208-TODAY())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IF(K209="","",IF(M209="Concluída","",TODAY()-K209))</f>
        <v/>
      </c>
      <c r="P206" s="57">
        <f>IF(L209="","",L209-TODAY())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IF(K210="","",IF(M210="Concluída","",TODAY()-K210))</f>
        <v/>
      </c>
      <c r="P207" s="57">
        <f>IF(L210="","",L210-TODAY())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IF(K211="","",IF(M211="Concluída","",TODAY()-K211))</f>
        <v/>
      </c>
      <c r="P208" s="57">
        <f>IF(L211="","",L211-TODAY())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IF(K212="","",IF(M212="Concluída","",TODAY()-K212))</f>
        <v/>
      </c>
      <c r="P209" s="57">
        <f>IF(L212="","",L212-TODAY())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IF(K213="","",IF(M213="Concluída","",TODAY()-K213))</f>
        <v/>
      </c>
      <c r="P210" s="57">
        <f>IF(L213="","",L213-TODAY())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IF(K214="","",IF(M214="Concluída","",TODAY()-K214))</f>
        <v/>
      </c>
      <c r="P211" s="57">
        <f>IF(L214="","",L214-TODAY())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IF(K215="","",IF(M215="Concluída","",TODAY()-K215))</f>
        <v/>
      </c>
      <c r="P212" s="57">
        <f>IF(L215="","",L215-TODAY())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IF(K216="","",IF(M216="Concluída","",TODAY()-K216))</f>
        <v/>
      </c>
      <c r="P213" s="57">
        <f>IF(L216="","",L216-TODAY())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IF(K217="","",IF(M217="Concluída","",TODAY()-K217))</f>
        <v/>
      </c>
      <c r="P214" s="57">
        <f>IF(L217="","",L217-TODAY())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IF(K218="","",IF(M218="Concluída","",TODAY()-K218))</f>
        <v/>
      </c>
      <c r="P215" s="57">
        <f>IF(L218="","",L218-TODAY())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IF(K219="","",IF(M219="Concluída","",TODAY()-K219))</f>
        <v/>
      </c>
      <c r="P216" s="57">
        <f>IF(L219="","",L219-TODAY())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IF(K220="","",IF(M220="Concluída","",TODAY()-K220))</f>
        <v/>
      </c>
      <c r="P217" s="57">
        <f>IF(L220="","",L220-TODAY())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IF(K221="","",IF(M221="Concluída","",TODAY()-K221))</f>
        <v/>
      </c>
      <c r="P218" s="57">
        <f>IF(L221="","",L221-TODAY())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IF(K222="","",IF(M222="Concluída","",TODAY()-K222))</f>
        <v/>
      </c>
      <c r="P219" s="57">
        <f>IF(L222="","",L222-TODAY())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IF(K223="","",IF(M223="Concluída","",TODAY()-K223))</f>
        <v/>
      </c>
      <c r="P220" s="57">
        <f>IF(L223="","",L223-TODAY())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IF(K224="","",IF(M224="Concluída","",TODAY()-K224))</f>
        <v/>
      </c>
      <c r="P221" s="57">
        <f>IF(L224="","",L224-TODAY())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IF(K225="","",IF(M225="Concluída","",TODAY()-K225))</f>
        <v/>
      </c>
      <c r="P222" s="57">
        <f>IF(L225="","",L225-TODAY())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IF(K226="","",IF(M226="Concluída","",TODAY()-K226))</f>
        <v/>
      </c>
      <c r="P223" s="57">
        <f>IF(L226="","",L226-TODAY())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IF(K227="","",IF(M227="Concluída","",TODAY()-K227))</f>
        <v/>
      </c>
      <c r="P224" s="57">
        <f>IF(L227="","",L227-TODAY())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IF(K228="","",IF(M228="Concluída","",TODAY()-K228))</f>
        <v/>
      </c>
      <c r="P225" s="57">
        <f>IF(L228="","",L228-TODAY())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IF(K229="","",IF(M229="Concluída","",TODAY()-K229))</f>
        <v/>
      </c>
      <c r="P226" s="57">
        <f>IF(L229="","",L229-TODAY())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IF(K230="","",IF(M230="Concluída","",TODAY()-K230))</f>
        <v/>
      </c>
      <c r="P227" s="57">
        <f>IF(L230="","",L230-TODAY())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IF(K231="","",IF(M231="Concluída","",TODAY()-K231))</f>
        <v/>
      </c>
      <c r="P228" s="57">
        <f>IF(L231="","",L231-TODAY())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IF(K232="","",IF(M232="Concluída","",TODAY()-K232))</f>
        <v/>
      </c>
      <c r="P229" s="57">
        <f>IF(L232="","",L232-TODAY())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IF(K233="","",IF(M233="Concluída","",TODAY()-K233))</f>
        <v/>
      </c>
      <c r="P230" s="57">
        <f>IF(L233="","",L233-TODAY())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IF(K234="","",IF(M234="Concluída","",TODAY()-K234))</f>
        <v/>
      </c>
      <c r="P231" s="57">
        <f>IF(L234="","",L234-TODAY())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IF(K235="","",IF(M235="Concluída","",TODAY()-K235))</f>
        <v/>
      </c>
      <c r="P232" s="57">
        <f>IF(L235="","",L235-TODAY())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IF(K236="","",IF(M236="Concluída","",TODAY()-K236))</f>
        <v/>
      </c>
      <c r="P233" s="57">
        <f>IF(L236="","",L236-TODAY())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IF(K237="","",IF(M237="Concluída","",TODAY()-K237))</f>
        <v/>
      </c>
      <c r="P234" s="57">
        <f>IF(L237="","",L237-TODAY())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IF(K238="","",IF(M238="Concluída","",TODAY()-K238))</f>
        <v/>
      </c>
      <c r="P235" s="57">
        <f>IF(L238="","",L238-TODAY())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IF(K239="","",IF(M239="Concluída","",TODAY()-K239))</f>
        <v/>
      </c>
      <c r="P236" s="57">
        <f>IF(L239="","",L239-TODAY())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IF(K240="","",IF(M240="Concluída","",TODAY()-K240))</f>
        <v/>
      </c>
      <c r="P237" s="57">
        <f>IF(L240="","",L240-TODAY())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IF(K241="","",IF(M241="Concluída","",TODAY()-K241))</f>
        <v/>
      </c>
      <c r="P238" s="57">
        <f>IF(L241="","",L241-TODAY())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IF(K242="","",IF(M242="Concluída","",TODAY()-K242))</f>
        <v/>
      </c>
      <c r="P239" s="57">
        <f>IF(L242="","",L242-TODAY())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IF(K243="","",IF(M243="Concluída","",TODAY()-K243))</f>
        <v/>
      </c>
      <c r="P240" s="57">
        <f>IF(L243="","",L243-TODAY())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IF(K244="","",IF(M244="Concluída","",TODAY()-K244))</f>
        <v/>
      </c>
      <c r="P241" s="57">
        <f>IF(L244="","",L244-TODAY())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IF(K245="","",IF(M245="Concluída","",TODAY()-K245))</f>
        <v/>
      </c>
      <c r="P242" s="57">
        <f>IF(L245="","",L245-TODAY())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IF(K246="","",IF(M246="Concluída","",TODAY()-K246))</f>
        <v/>
      </c>
      <c r="P243" s="57">
        <f>IF(L246="","",L246-TODAY())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IF(K247="","",IF(M247="Concluída","",TODAY()-K247))</f>
        <v/>
      </c>
      <c r="P244" s="57">
        <f>IF(L247="","",L247-TODAY())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IF(K248="","",IF(M248="Concluída","",TODAY()-K248))</f>
        <v/>
      </c>
      <c r="P245" s="57">
        <f>IF(L248="","",L248-TODAY())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IF(K249="","",IF(M249="Concluída","",TODAY()-K249))</f>
        <v/>
      </c>
      <c r="P246" s="57">
        <f>IF(L249="","",L249-TODAY())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IF(K250="","",IF(M250="Concluída","",TODAY()-K250))</f>
        <v/>
      </c>
      <c r="P247" s="57">
        <f>IF(L250="","",L250-TODAY())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IF(K251="","",IF(M251="Concluída","",TODAY()-K251))</f>
        <v/>
      </c>
      <c r="P248" s="57">
        <f>IF(L251="","",L251-TODAY())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IF(K252="","",IF(M252="Concluída","",TODAY()-K252))</f>
        <v/>
      </c>
      <c r="P249" s="57">
        <f>IF(L252="","",L252-TODAY())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IF(K253="","",IF(M253="Concluída","",TODAY()-K253))</f>
        <v/>
      </c>
      <c r="P250" s="57">
        <f>IF(L253="","",L253-TODAY())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IF(K254="","",IF(M254="Concluída","",TODAY()-K254))</f>
        <v/>
      </c>
      <c r="P251" s="57">
        <f>IF(L254="","",L254-TODAY())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IF(K255="","",IF(M255="Concluída","",TODAY()-K255))</f>
        <v/>
      </c>
      <c r="P252" s="57">
        <f>IF(L255="","",L255-TODAY())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IF(K256="","",IF(M256="Concluída","",TODAY()-K256))</f>
        <v/>
      </c>
      <c r="P253" s="57">
        <f>IF(L256="","",L256-TODAY())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IF(K257="","",IF(M257="Concluída","",TODAY()-K257))</f>
        <v/>
      </c>
      <c r="P254" s="57">
        <f>IF(L257="","",L257-TODAY())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IF(K258="","",IF(M258="Concluída","",TODAY()-K258))</f>
        <v/>
      </c>
      <c r="P255" s="57">
        <f>IF(L258="","",L258-TODAY())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IF(K259="","",IF(M259="Concluída","",TODAY()-K259))</f>
        <v/>
      </c>
      <c r="P256" s="57">
        <f>IF(L259="","",L259-TODAY())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IF(K260="","",IF(M260="Concluída","",TODAY()-K260))</f>
        <v/>
      </c>
      <c r="P257" s="57">
        <f>IF(L260="","",L260-TODAY())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IF(K261="","",IF(M261="Concluída","",TODAY()-K261))</f>
        <v/>
      </c>
      <c r="P258" s="57">
        <f>IF(L261="","",L261-TODAY())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IF(K262="","",IF(M262="Concluída","",TODAY()-K262))</f>
        <v/>
      </c>
      <c r="P259" s="57">
        <f>IF(L262="","",L262-TODAY())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IF(K263="","",IF(M263="Concluída","",TODAY()-K263))</f>
        <v/>
      </c>
      <c r="P260" s="57">
        <f>IF(L263="","",L263-TODAY())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IF(K264="","",IF(M264="Concluída","",TODAY()-K264))</f>
        <v/>
      </c>
      <c r="P261" s="57">
        <f>IF(L264="","",L264-TODAY())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IF(K265="","",IF(M265="Concluída","",TODAY()-K265))</f>
        <v/>
      </c>
      <c r="P262" s="57">
        <f>IF(L265="","",L265-TODAY())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IF(K266="","",IF(M266="Concluída","",TODAY()-K266))</f>
        <v/>
      </c>
      <c r="P263" s="57">
        <f>IF(L266="","",L266-TODAY())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IF(K267="","",IF(M267="Concluída","",TODAY()-K267))</f>
        <v/>
      </c>
      <c r="P264" s="57">
        <f>IF(L267="","",L267-TODAY())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IF(K268="","",IF(M268="Concluída","",TODAY()-K268))</f>
        <v/>
      </c>
      <c r="P265" s="57">
        <f>IF(L268="","",L268-TODAY())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IF(K269="","",IF(M269="Concluída","",TODAY()-K269))</f>
        <v/>
      </c>
      <c r="P266" s="57">
        <f>IF(L269="","",L269-TODAY())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IF(K270="","",IF(M270="Concluída","",TODAY()-K270))</f>
        <v/>
      </c>
      <c r="P267" s="57">
        <f>IF(L270="","",L270-TODAY())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IF(K271="","",IF(M271="Concluída","",TODAY()-K271))</f>
        <v/>
      </c>
      <c r="P268" s="57">
        <f>IF(L271="","",L271-TODAY())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IF(K272="","",IF(M272="Concluída","",TODAY()-K272))</f>
        <v/>
      </c>
      <c r="P269" s="57">
        <f>IF(L272="","",L272-TODAY())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IF(K273="","",IF(M273="Concluída","",TODAY()-K273))</f>
        <v/>
      </c>
      <c r="P270" s="57">
        <f>IF(L273="","",L273-TODAY())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IF(K274="","",IF(M274="Concluída","",TODAY()-K274))</f>
        <v/>
      </c>
      <c r="P271" s="57">
        <f>IF(L274="","",L274-TODAY())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IF(K275="","",IF(M275="Concluída","",TODAY()-K275))</f>
        <v/>
      </c>
      <c r="P272" s="57">
        <f>IF(L275="","",L275-TODAY())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IF(K276="","",IF(M276="Concluída","",TODAY()-K276))</f>
        <v/>
      </c>
      <c r="P273" s="57">
        <f>IF(L276="","",L276-TODAY())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IF(K277="","",IF(M277="Concluída","",TODAY()-K277))</f>
        <v/>
      </c>
      <c r="P274" s="57">
        <f>IF(L277="","",L277-TODAY())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IF(K278="","",IF(M278="Concluída","",TODAY()-K278))</f>
        <v/>
      </c>
      <c r="P275" s="57">
        <f>IF(L278="","",L278-TODAY())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IF(K279="","",IF(M279="Concluída","",TODAY()-K279))</f>
        <v/>
      </c>
      <c r="P276" s="57">
        <f>IF(L279="","",L279-TODAY())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IF(K280="","",IF(M280="Concluída","",TODAY()-K280))</f>
        <v/>
      </c>
      <c r="P277" s="57">
        <f>IF(L280="","",L280-TODAY())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IF(K281="","",IF(M281="Concluída","",TODAY()-K281))</f>
        <v/>
      </c>
      <c r="P278" s="57">
        <f>IF(L281="","",L281-TODAY())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IF(K282="","",IF(M282="Concluída","",TODAY()-K282))</f>
        <v/>
      </c>
      <c r="P279" s="57">
        <f>IF(L282="","",L282-TODAY())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IF(K283="","",IF(M283="Concluída","",TODAY()-K283))</f>
        <v/>
      </c>
      <c r="P280" s="57">
        <f>IF(L283="","",L283-TODAY())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IF(K284="","",IF(M284="Concluída","",TODAY()-K284))</f>
        <v/>
      </c>
      <c r="P281" s="57">
        <f>IF(L284="","",L284-TODAY())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IF(K285="","",IF(M285="Concluída","",TODAY()-K285))</f>
        <v/>
      </c>
      <c r="P282" s="57">
        <f>IF(L285="","",L285-TODAY())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IF(K286="","",IF(M286="Concluída","",TODAY()-K286))</f>
        <v/>
      </c>
      <c r="P283" s="57">
        <f>IF(L286="","",L286-TODAY())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IF(K287="","",IF(M287="Concluída","",TODAY()-K287))</f>
        <v/>
      </c>
      <c r="P284" s="57">
        <f>IF(L287="","",L287-TODAY())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IF(K288="","",IF(M288="Concluída","",TODAY()-K288))</f>
        <v/>
      </c>
      <c r="P285" s="57">
        <f>IF(L288="","",L288-TODAY())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IF(K289="","",IF(M289="Concluída","",TODAY()-K289))</f>
        <v/>
      </c>
      <c r="P286" s="57">
        <f>IF(L289="","",L289-TODAY())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IF(K290="","",IF(M290="Concluída","",TODAY()-K290))</f>
        <v/>
      </c>
      <c r="P287" s="57">
        <f>IF(L290="","",L290-TODAY())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IF(K291="","",IF(M291="Concluída","",TODAY()-K291))</f>
        <v/>
      </c>
      <c r="P288" s="57">
        <f>IF(L291="","",L291-TODAY())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IF(K292="","",IF(M292="Concluída","",TODAY()-K292))</f>
        <v/>
      </c>
      <c r="P289" s="57">
        <f>IF(L292="","",L292-TODAY())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IF(K293="","",IF(M293="Concluída","",TODAY()-K293))</f>
        <v/>
      </c>
      <c r="P290" s="57">
        <f>IF(L293="","",L293-TODAY())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IF(K294="","",IF(M294="Concluída","",TODAY()-K294))</f>
        <v/>
      </c>
      <c r="P291" s="57">
        <f>IF(L294="","",L294-TODAY())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IF(K295="","",IF(M295="Concluída","",TODAY()-K295))</f>
        <v/>
      </c>
      <c r="P292" s="57">
        <f>IF(L295="","",L295-TODAY())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IF(K296="","",IF(M296="Concluída","",TODAY()-K296))</f>
        <v/>
      </c>
      <c r="P293" s="57">
        <f>IF(L296="","",L296-TODAY())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IF(K297="","",IF(M297="Concluída","",TODAY()-K297))</f>
        <v/>
      </c>
      <c r="P294" s="57">
        <f>IF(L297="","",L297-TODAY())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IF(K298="","",IF(M298="Concluída","",TODAY()-K298))</f>
        <v/>
      </c>
      <c r="P295" s="57">
        <f>IF(L298="","",L298-TODAY())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IF(K299="","",IF(M299="Concluída","",TODAY()-K299))</f>
        <v/>
      </c>
      <c r="P296" s="57">
        <f>IF(L299="","",L299-TODAY())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IF(K300="","",IF(M300="Concluída","",TODAY()-K300))</f>
        <v/>
      </c>
      <c r="P297" s="57">
        <f>IF(L300="","",L300-TODAY())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IF(K301="","",IF(M301="Concluída","",TODAY()-K301))</f>
        <v/>
      </c>
      <c r="P298" s="57">
        <f>IF(L301="","",L301-TODAY())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IF(K302="","",IF(M302="Concluída","",TODAY()-K302))</f>
        <v/>
      </c>
      <c r="P299" s="57">
        <f>IF(L302="","",L302-TODAY())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IF(K303="","",IF(M303="Concluída","",TODAY()-K303))</f>
        <v/>
      </c>
      <c r="P300" s="57">
        <f>IF(L303="","",L303-TODAY())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IF(K304="","",IF(M304="Concluída","",TODAY()-K304))</f>
        <v/>
      </c>
      <c r="P301" s="57">
        <f>IF(L304="","",L304-TODAY())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IF(K305="","",IF(M305="Concluída","",TODAY()-K305))</f>
        <v/>
      </c>
      <c r="P302" s="57">
        <f>IF(L305="","",L305-TODAY())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IF(K306="","",IF(M306="Concluída","",TODAY()-K306))</f>
        <v/>
      </c>
      <c r="P303" s="57">
        <f>IF(L306="","",L306-TODAY())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IF(K307="","",IF(M307="Concluída","",TODAY()-K307))</f>
        <v/>
      </c>
      <c r="P304" s="57">
        <f>IF(L307="","",L307-TODAY())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IF(K308="","",IF(M308="Concluída","",TODAY()-K308))</f>
        <v/>
      </c>
      <c r="P305" s="57">
        <f>IF(L308="","",L308-TODAY())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IF(K309="","",IF(M309="Concluída","",TODAY()-K309))</f>
        <v/>
      </c>
      <c r="P306" s="57">
        <f>IF(L309="","",L309-TODAY())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IF(K310="","",IF(M310="Concluída","",TODAY()-K310))</f>
        <v/>
      </c>
      <c r="P307" s="57">
        <f>IF(L310="","",L310-TODAY())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IF(K311="","",IF(M311="Concluída","",TODAY()-K311))</f>
        <v/>
      </c>
      <c r="P308" s="57">
        <f>IF(L311="","",L311-TODAY())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IF(K312="","",IF(M312="Concluída","",TODAY()-K312))</f>
        <v/>
      </c>
      <c r="P309" s="57">
        <f>IF(L312="","",L312-TODAY())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IF(K313="","",IF(M313="Concluída","",TODAY()-K313))</f>
        <v/>
      </c>
      <c r="P310" s="57">
        <f>IF(L313="","",L313-TODAY())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IF(K314="","",IF(M314="Concluída","",TODAY()-K314))</f>
        <v/>
      </c>
      <c r="P311" s="57">
        <f>IF(L314="","",L314-TODAY())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IF(K315="","",IF(M315="Concluída","",TODAY()-K315))</f>
        <v/>
      </c>
      <c r="P312" s="57">
        <f>IF(L315="","",L315-TODAY())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IF(K316="","",IF(M316="Concluída","",TODAY()-K316))</f>
        <v/>
      </c>
      <c r="P313" s="57">
        <f>IF(L316="","",L316-TODAY())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IF(K317="","",IF(M317="Concluída","",TODAY()-K317))</f>
        <v/>
      </c>
      <c r="P314" s="57">
        <f>IF(L317="","",L317-TODAY())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IF(K318="","",IF(M318="Concluída","",TODAY()-K318))</f>
        <v/>
      </c>
      <c r="P315" s="57">
        <f>IF(L318="","",L318-TODAY())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IF(K319="","",IF(M319="Concluída","",TODAY()-K319))</f>
        <v/>
      </c>
      <c r="P316" s="57">
        <f>IF(L319="","",L319-TODAY())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IF(K320="","",IF(M320="Concluída","",TODAY()-K320))</f>
        <v/>
      </c>
      <c r="P317" s="57">
        <f>IF(L320="","",L320-TODAY())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IF(K321="","",IF(M321="Concluída","",TODAY()-K321))</f>
        <v/>
      </c>
      <c r="P318" s="57">
        <f>IF(L321="","",L321-TODAY())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IF(K322="","",IF(M322="Concluída","",TODAY()-K322))</f>
        <v/>
      </c>
      <c r="P319" s="57">
        <f>IF(L322="","",L322-TODAY())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IF(K323="","",IF(M323="Concluída","",TODAY()-K323))</f>
        <v/>
      </c>
      <c r="P320" s="57">
        <f>IF(L323="","",L323-TODAY())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IF(K324="","",IF(M324="Concluída","",TODAY()-K324))</f>
        <v/>
      </c>
      <c r="P321" s="57">
        <f>IF(L324="","",L324-TODAY())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IF(K325="","",IF(M325="Concluída","",TODAY()-K325))</f>
        <v/>
      </c>
      <c r="P322" s="57">
        <f>IF(L325="","",L325-TODAY())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IF(K326="","",IF(M326="Concluída","",TODAY()-K326))</f>
        <v/>
      </c>
      <c r="P323" s="57">
        <f>IF(L326="","",L326-TODAY())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IF(K327="","",IF(M327="Concluída","",TODAY()-K327))</f>
        <v/>
      </c>
      <c r="P324" s="57">
        <f>IF(L327="","",L327-TODAY())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IF(K328="","",IF(M328="Concluída","",TODAY()-K328))</f>
        <v/>
      </c>
      <c r="P325" s="57">
        <f>IF(L328="","",L328-TODAY())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IF(K329="","",IF(M329="Concluída","",TODAY()-K329))</f>
        <v/>
      </c>
      <c r="P326" s="57">
        <f>IF(L329="","",L329-TODAY())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IF(K330="","",IF(M330="Concluída","",TODAY()-K330))</f>
        <v/>
      </c>
      <c r="P327" s="57">
        <f>IF(L330="","",L330-TODAY())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IF(K331="","",IF(M331="Concluída","",TODAY()-K331))</f>
        <v/>
      </c>
      <c r="P328" s="57">
        <f>IF(L331="","",L331-TODAY())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IF(K332="","",IF(M332="Concluída","",TODAY()-K332))</f>
        <v/>
      </c>
      <c r="P329" s="57">
        <f>IF(L332="","",L332-TODAY())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IF(K333="","",IF(M333="Concluída","",TODAY()-K333))</f>
        <v/>
      </c>
      <c r="P330" s="57">
        <f>IF(L333="","",L333-TODAY())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IF(K334="","",IF(M334="Concluída","",TODAY()-K334))</f>
        <v/>
      </c>
      <c r="P331" s="57">
        <f>IF(L334="","",L334-TODAY())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IF(K335="","",IF(M335="Concluída","",TODAY()-K335))</f>
        <v/>
      </c>
      <c r="P332" s="57">
        <f>IF(L335="","",L335-TODAY())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IF(K336="","",IF(M336="Concluída","",TODAY()-K336))</f>
        <v/>
      </c>
      <c r="P333" s="57">
        <f>IF(L336="","",L336-TODAY())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IF(K337="","",IF(M337="Concluída","",TODAY()-K337))</f>
        <v/>
      </c>
      <c r="P334" s="57">
        <f>IF(L337="","",L337-TODAY())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IF(K338="","",IF(M338="Concluída","",TODAY()-K338))</f>
        <v/>
      </c>
      <c r="P335" s="57">
        <f>IF(L338="","",L338-TODAY())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IF(K339="","",IF(M339="Concluída","",TODAY()-K339))</f>
        <v/>
      </c>
      <c r="P336" s="57">
        <f>IF(L339="","",L339-TODAY())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IF(K340="","",IF(M340="Concluída","",TODAY()-K340))</f>
        <v/>
      </c>
      <c r="P337" s="57">
        <f>IF(L340="","",L340-TODAY())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IF(K341="","",IF(M341="Concluída","",TODAY()-K341))</f>
        <v/>
      </c>
      <c r="P338" s="57">
        <f>IF(L341="","",L341-TODAY())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IF(K342="","",IF(M342="Concluída","",TODAY()-K342))</f>
        <v/>
      </c>
      <c r="P339" s="57">
        <f>IF(L342="","",L342-TODAY())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IF(K343="","",IF(M343="Concluída","",TODAY()-K343))</f>
        <v/>
      </c>
      <c r="P340" s="57">
        <f>IF(L343="","",L343-TODAY())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IF(K344="","",IF(M344="Concluída","",TODAY()-K344))</f>
        <v/>
      </c>
      <c r="P341" s="57">
        <f>IF(L344="","",L344-TODAY())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IF(K345="","",IF(M345="Concluída","",TODAY()-K345))</f>
        <v/>
      </c>
      <c r="P342" s="57">
        <f>IF(L345="","",L345-TODAY())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IF(K346="","",IF(M346="Concluída","",TODAY()-K346))</f>
        <v/>
      </c>
      <c r="P343" s="57">
        <f>IF(L346="","",L346-TODAY())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IF(K347="","",IF(M347="Concluída","",TODAY()-K347))</f>
        <v/>
      </c>
      <c r="P344" s="57">
        <f>IF(L347="","",L347-TODAY())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IF(K348="","",IF(M348="Concluída","",TODAY()-K348))</f>
        <v/>
      </c>
      <c r="P345" s="57">
        <f>IF(L348="","",L348-TODAY())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IF(K349="","",IF(M349="Concluída","",TODAY()-K349))</f>
        <v/>
      </c>
      <c r="P346" s="57">
        <f>IF(L349="","",L349-TODAY())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IF(K350="","",IF(M350="Concluída","",TODAY()-K350))</f>
        <v/>
      </c>
      <c r="P347" s="57">
        <f>IF(L350="","",L350-TODAY())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IF(K351="","",IF(M351="Concluída","",TODAY()-K351))</f>
        <v/>
      </c>
      <c r="P348" s="57">
        <f>IF(L351="","",L351-TODAY())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IF(K352="","",IF(M352="Concluída","",TODAY()-K352))</f>
        <v/>
      </c>
      <c r="P349" s="57">
        <f>IF(L352="","",L352-TODAY())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IF(K353="","",IF(M353="Concluída","",TODAY()-K353))</f>
        <v/>
      </c>
      <c r="P350" s="57">
        <f>IF(L353="","",L353-TODAY())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IF(K354="","",IF(M354="Concluída","",TODAY()-K354))</f>
        <v/>
      </c>
      <c r="P351" s="57">
        <f>IF(L354="","",L354-TODAY())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IF(K355="","",IF(M355="Concluída","",TODAY()-K355))</f>
        <v/>
      </c>
      <c r="P352" s="57">
        <f>IF(L355="","",L355-TODAY())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IF(K356="","",IF(M356="Concluída","",TODAY()-K356))</f>
        <v/>
      </c>
      <c r="P353" s="57">
        <f>IF(L356="","",L356-TODAY())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IF(K357="","",IF(M357="Concluída","",TODAY()-K357))</f>
        <v/>
      </c>
      <c r="P354" s="57">
        <f>IF(L357="","",L357-TODAY())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IF(K358="","",IF(M358="Concluída","",TODAY()-K358))</f>
        <v/>
      </c>
      <c r="P355" s="57">
        <f>IF(L358="","",L358-TODAY())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IF(K359="","",IF(M359="Concluída","",TODAY()-K359))</f>
        <v/>
      </c>
      <c r="P356" s="57">
        <f>IF(L359="","",L359-TODAY())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IF(K360="","",IF(M360="Concluída","",TODAY()-K360))</f>
        <v/>
      </c>
      <c r="P357" s="57">
        <f>IF(L360="","",L360-TODAY())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IF(K361="","",IF(M361="Concluída","",TODAY()-K361))</f>
        <v/>
      </c>
      <c r="P358" s="57">
        <f>IF(L361="","",L361-TODAY())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IF(K362="","",IF(M362="Concluída","",TODAY()-K362))</f>
        <v/>
      </c>
      <c r="P359" s="57">
        <f>IF(L362="","",L362-TODAY())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IF(K363="","",IF(M363="Concluída","",TODAY()-K363))</f>
        <v/>
      </c>
      <c r="P360" s="57">
        <f>IF(L363="","",L363-TODAY())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IF(K364="","",IF(M364="Concluída","",TODAY()-K364))</f>
        <v/>
      </c>
      <c r="P361" s="57">
        <f>IF(L364="","",L364-TODAY())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IF(K365="","",IF(M365="Concluída","",TODAY()-K365))</f>
        <v/>
      </c>
      <c r="P362" s="57">
        <f>IF(L365="","",L365-TODAY())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IF(K366="","",IF(M366="Concluída","",TODAY()-K366))</f>
        <v/>
      </c>
      <c r="P363" s="57">
        <f>IF(L366="","",L366-TODAY())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IF(K367="","",IF(M367="Concluída","",TODAY()-K367))</f>
        <v/>
      </c>
      <c r="P364" s="57">
        <f>IF(L367="","",L367-TODAY())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IF(K368="","",IF(M368="Concluída","",TODAY()-K368))</f>
        <v/>
      </c>
      <c r="P365" s="57">
        <f>IF(L368="","",L368-TODAY())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IF(K369="","",IF(M369="Concluída","",TODAY()-K369))</f>
        <v/>
      </c>
      <c r="P366" s="57">
        <f>IF(L369="","",L369-TODAY())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IF(K370="","",IF(M370="Concluída","",TODAY()-K370))</f>
        <v/>
      </c>
      <c r="P367" s="57">
        <f>IF(L370="","",L370-TODAY())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IF(K371="","",IF(M371="Concluída","",TODAY()-K371))</f>
        <v/>
      </c>
      <c r="P368" s="57">
        <f>IF(L371="","",L371-TODAY())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IF(K372="","",IF(M372="Concluída","",TODAY()-K372))</f>
        <v/>
      </c>
      <c r="P369" s="57">
        <f>IF(L372="","",L372-TODAY())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IF(K373="","",IF(M373="Concluída","",TODAY()-K373))</f>
        <v/>
      </c>
      <c r="P370" s="57">
        <f>IF(L373="","",L373-TODAY())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IF(K374="","",IF(M374="Concluída","",TODAY()-K374))</f>
        <v/>
      </c>
      <c r="P371" s="57">
        <f>IF(L374="","",L374-TODAY())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IF(K375="","",IF(M375="Concluída","",TODAY()-K375))</f>
        <v/>
      </c>
      <c r="P372" s="57">
        <f>IF(L375="","",L375-TODAY())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IF(K376="","",IF(M376="Concluída","",TODAY()-K376))</f>
        <v/>
      </c>
      <c r="P373" s="57">
        <f>IF(L376="","",L376-TODAY())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IF(K377="","",IF(M377="Concluída","",TODAY()-K377))</f>
        <v/>
      </c>
      <c r="P374" s="57">
        <f>IF(L377="","",L377-TODAY())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IF(K378="","",IF(M378="Concluída","",TODAY()-K378))</f>
        <v/>
      </c>
      <c r="P375" s="57">
        <f>IF(L378="","",L378-TODAY())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IF(K379="","",IF(M379="Concluída","",TODAY()-K379))</f>
        <v/>
      </c>
      <c r="P376" s="57">
        <f>IF(L379="","",L379-TODAY())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IF(K380="","",IF(M380="Concluída","",TODAY()-K380))</f>
        <v/>
      </c>
      <c r="P377" s="57">
        <f>IF(L380="","",L380-TODAY())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IF(K381="","",IF(M381="Concluída","",TODAY()-K381))</f>
        <v/>
      </c>
      <c r="P378" s="57">
        <f>IF(L381="","",L381-TODAY())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IF(K382="","",IF(M382="Concluída","",TODAY()-K382))</f>
        <v/>
      </c>
      <c r="P379" s="57">
        <f>IF(L382="","",L382-TODAY())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IF(K383="","",IF(M383="Concluída","",TODAY()-K383))</f>
        <v/>
      </c>
      <c r="P380" s="57">
        <f>IF(L383="","",L383-TODAY())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IF(K384="","",IF(M384="Concluída","",TODAY()-K384))</f>
        <v/>
      </c>
      <c r="P381" s="57">
        <f>IF(L384="","",L384-TODAY())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IF(K385="","",IF(M385="Concluída","",TODAY()-K385))</f>
        <v/>
      </c>
      <c r="P382" s="57">
        <f>IF(L385="","",L385-TODAY())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IF(K386="","",IF(M386="Concluída","",TODAY()-K386))</f>
        <v/>
      </c>
      <c r="P383" s="57">
        <f>IF(L386="","",L386-TODAY())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IF(K387="","",IF(M387="Concluída","",TODAY()-K387))</f>
        <v/>
      </c>
      <c r="P384" s="57">
        <f>IF(L387="","",L387-TODAY())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IF(K388="","",IF(M388="Concluída","",TODAY()-K388))</f>
        <v/>
      </c>
      <c r="P385" s="57">
        <f>IF(L388="","",L388-TODAY())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IF(K389="","",IF(M389="Concluída","",TODAY()-K389))</f>
        <v/>
      </c>
      <c r="P386" s="57">
        <f>IF(L389="","",L389-TODAY())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IF(K390="","",IF(M390="Concluída","",TODAY()-K390))</f>
        <v/>
      </c>
      <c r="P387" s="57">
        <f>IF(L390="","",L390-TODAY())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IF(K391="","",IF(M391="Concluída","",TODAY()-K391))</f>
        <v/>
      </c>
      <c r="P388" s="57">
        <f>IF(L391="","",L391-TODAY())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IF(K392="","",IF(M392="Concluída","",TODAY()-K392))</f>
        <v/>
      </c>
      <c r="P389" s="57">
        <f>IF(L392="","",L392-TODAY())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IF(K393="","",IF(M393="Concluída","",TODAY()-K393))</f>
        <v/>
      </c>
      <c r="P390" s="57">
        <f>IF(L393="","",L393-TODAY())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IF(K394="","",IF(M394="Concluída","",TODAY()-K394))</f>
        <v/>
      </c>
      <c r="P391" s="57">
        <f>IF(L394="","",L394-TODAY())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IF(K395="","",IF(M395="Concluída","",TODAY()-K395))</f>
        <v/>
      </c>
      <c r="P392" s="57">
        <f>IF(L395="","",L395-TODAY())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IF(K396="","",IF(M396="Concluída","",TODAY()-K396))</f>
        <v/>
      </c>
      <c r="P393" s="57">
        <f>IF(L396="","",L396-TODAY())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IF(K397="","",IF(M397="Concluída","",TODAY()-K397))</f>
        <v/>
      </c>
      <c r="P394" s="57">
        <f>IF(L397="","",L397-TODAY())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IF(K398="","",IF(M398="Concluída","",TODAY()-K398))</f>
        <v/>
      </c>
      <c r="P395" s="57">
        <f>IF(L398="","",L398-TODAY())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IF(K399="","",IF(M399="Concluída","",TODAY()-K399))</f>
        <v/>
      </c>
      <c r="P396" s="57">
        <f>IF(L399="","",L399-TODAY())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IF(K400="","",IF(M400="Concluída","",TODAY()-K400))</f>
        <v/>
      </c>
      <c r="P397" s="57">
        <f>IF(L400="","",L400-TODAY())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IF(K401="","",IF(M401="Concluída","",TODAY()-K401))</f>
        <v/>
      </c>
      <c r="P398" s="57">
        <f>IF(L401="","",L401-TODAY())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IF(K402="","",IF(M402="Concluída","",TODAY()-K402))</f>
        <v/>
      </c>
      <c r="P399" s="57">
        <f>IF(L402="","",L402-TODAY())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IF(K403="","",IF(M403="Concluída","",TODAY()-K403))</f>
        <v/>
      </c>
      <c r="P400" s="57">
        <f>IF(L403="","",L403-TODAY())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IF(K404="","",IF(M404="Concluída","",TODAY()-K404))</f>
        <v/>
      </c>
      <c r="P401" s="57">
        <f>IF(L404="","",L404-TODAY())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IF(K405="","",IF(M405="Concluída","",TODAY()-K405))</f>
        <v/>
      </c>
      <c r="P402" s="57">
        <f>IF(L405="","",L405-TODAY())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IF(K406="","",IF(M406="Concluída","",TODAY()-K406))</f>
        <v/>
      </c>
      <c r="P403" s="57">
        <f>IF(L406="","",L406-TODAY())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IF(K407="","",IF(M407="Concluída","",TODAY()-K407))</f>
        <v/>
      </c>
      <c r="P404" s="57">
        <f>IF(L407="","",L407-TODAY())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IF(K408="","",IF(M408="Concluída","",TODAY()-K408))</f>
        <v/>
      </c>
      <c r="P405" s="57">
        <f>IF(L408="","",L408-TODAY())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IF(K409="","",IF(M409="Concluída","",TODAY()-K409))</f>
        <v/>
      </c>
      <c r="P406" s="57">
        <f>IF(L409="","",L409-TODAY())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IF(K410="","",IF(M410="Concluída","",TODAY()-K410))</f>
        <v/>
      </c>
      <c r="P407" s="57">
        <f>IF(L410="","",L410-TODAY())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IF(K411="","",IF(M411="Concluída","",TODAY()-K411))</f>
        <v/>
      </c>
      <c r="P408" s="57">
        <f>IF(L411="","",L411-TODAY())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IF(K412="","",IF(M412="Concluída","",TODAY()-K412))</f>
        <v/>
      </c>
      <c r="P409" s="57">
        <f>IF(L412="","",L412-TODAY())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IF(K413="","",IF(M413="Concluída","",TODAY()-K413))</f>
        <v/>
      </c>
      <c r="P410" s="57">
        <f>IF(L413="","",L413-TODAY())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IF(K414="","",IF(M414="Concluída","",TODAY()-K414))</f>
        <v/>
      </c>
      <c r="P411" s="57">
        <f>IF(L414="","",L414-TODAY())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IF(K415="","",IF(M415="Concluída","",TODAY()-K415))</f>
        <v/>
      </c>
      <c r="P412" s="57">
        <f>IF(L415="","",L415-TODAY())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IF(K416="","",IF(M416="Concluída","",TODAY()-K416))</f>
        <v/>
      </c>
      <c r="P413" s="57">
        <f>IF(L416="","",L416-TODAY())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IF(K417="","",IF(M417="Concluída","",TODAY()-K417))</f>
        <v/>
      </c>
      <c r="P414" s="57">
        <f>IF(L417="","",L417-TODAY())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IF(K418="","",IF(M418="Concluída","",TODAY()-K418))</f>
        <v/>
      </c>
      <c r="P415" s="57">
        <f>IF(L418="","",L418-TODAY())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IF(K419="","",IF(M419="Concluída","",TODAY()-K419))</f>
        <v/>
      </c>
      <c r="P416" s="57">
        <f>IF(L419="","",L419-TODAY())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IF(K420="","",IF(M420="Concluída","",TODAY()-K420))</f>
        <v/>
      </c>
      <c r="P417" s="57">
        <f>IF(L420="","",L420-TODAY())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IF(K421="","",IF(M421="Concluída","",TODAY()-K421))</f>
        <v/>
      </c>
      <c r="P418" s="57">
        <f>IF(L421="","",L421-TODAY())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IF(K422="","",IF(M422="Concluída","",TODAY()-K422))</f>
        <v/>
      </c>
      <c r="P419" s="57">
        <f>IF(L422="","",L422-TODAY())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IF(K423="","",IF(M423="Concluída","",TODAY()-K423))</f>
        <v/>
      </c>
      <c r="P420" s="57">
        <f>IF(L423="","",L423-TODAY())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IF(K424="","",IF(M424="Concluída","",TODAY()-K424))</f>
        <v/>
      </c>
      <c r="P421" s="57">
        <f>IF(L424="","",L424-TODAY())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IF(K425="","",IF(M425="Concluída","",TODAY()-K425))</f>
        <v/>
      </c>
      <c r="P422" s="57">
        <f>IF(L425="","",L425-TODAY())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IF(K426="","",IF(M426="Concluída","",TODAY()-K426))</f>
        <v/>
      </c>
      <c r="P423" s="57">
        <f>IF(L426="","",L426-TODAY())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IF(K427="","",IF(M427="Concluída","",TODAY()-K427))</f>
        <v/>
      </c>
      <c r="P424" s="57">
        <f>IF(L427="","",L427-TODAY())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IF(K428="","",IF(M428="Concluída","",TODAY()-K428))</f>
        <v/>
      </c>
      <c r="P425" s="57">
        <f>IF(L428="","",L428-TODAY())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IF(K429="","",IF(M429="Concluída","",TODAY()-K429))</f>
        <v/>
      </c>
      <c r="P426" s="57">
        <f>IF(L429="","",L429-TODAY())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IF(K430="","",IF(M430="Concluída","",TODAY()-K430))</f>
        <v/>
      </c>
      <c r="P427" s="57">
        <f>IF(L430="","",L430-TODAY())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IF(K431="","",IF(M431="Concluída","",TODAY()-K431))</f>
        <v/>
      </c>
      <c r="P428" s="57">
        <f>IF(L431="","",L431-TODAY())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IF(K432="","",IF(M432="Concluída","",TODAY()-K432))</f>
        <v/>
      </c>
      <c r="P429" s="57">
        <f>IF(L432="","",L432-TODAY())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IF(K433="","",IF(M433="Concluída","",TODAY()-K433))</f>
        <v/>
      </c>
      <c r="P430" s="57">
        <f>IF(L433="","",L433-TODAY())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IF(K434="","",IF(M434="Concluída","",TODAY()-K434))</f>
        <v/>
      </c>
      <c r="P431" s="57">
        <f>IF(L434="","",L434-TODAY())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IF(K435="","",IF(M435="Concluída","",TODAY()-K435))</f>
        <v/>
      </c>
      <c r="P432" s="57">
        <f>IF(L435="","",L435-TODAY())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IF(K436="","",IF(M436="Concluída","",TODAY()-K436))</f>
        <v/>
      </c>
      <c r="P433" s="57">
        <f>IF(L436="","",L436-TODAY())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IF(K437="","",IF(M437="Concluída","",TODAY()-K437))</f>
        <v/>
      </c>
      <c r="P434" s="57">
        <f>IF(L437="","",L437-TODAY())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IF(K438="","",IF(M438="Concluída","",TODAY()-K438))</f>
        <v/>
      </c>
      <c r="P435" s="57">
        <f>IF(L438="","",L438-TODAY())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IF(K439="","",IF(M439="Concluída","",TODAY()-K439))</f>
        <v/>
      </c>
      <c r="P436" s="57">
        <f>IF(L439="","",L439-TODAY())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IF(K440="","",IF(M440="Concluída","",TODAY()-K440))</f>
        <v/>
      </c>
      <c r="P437" s="57">
        <f>IF(L440="","",L440-TODAY())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IF(K441="","",IF(M441="Concluída","",TODAY()-K441))</f>
        <v/>
      </c>
      <c r="P438" s="57">
        <f>IF(L441="","",L441-TODAY())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IF(K442="","",IF(M442="Concluída","",TODAY()-K442))</f>
        <v/>
      </c>
      <c r="P439" s="57">
        <f>IF(L442="","",L442-TODAY())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IF(K443="","",IF(M443="Concluída","",TODAY()-K443))</f>
        <v/>
      </c>
      <c r="P440" s="57">
        <f>IF(L443="","",L443-TODAY())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IF(K444="","",IF(M444="Concluída","",TODAY()-K444))</f>
        <v/>
      </c>
      <c r="P441" s="57">
        <f>IF(L444="","",L444-TODAY())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IF(K445="","",IF(M445="Concluída","",TODAY()-K445))</f>
        <v/>
      </c>
      <c r="P442" s="57">
        <f>IF(L445="","",L445-TODAY())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IF(K446="","",IF(M446="Concluída","",TODAY()-K446))</f>
        <v/>
      </c>
      <c r="P443" s="57">
        <f>IF(L446="","",L446-TODAY())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IF(K447="","",IF(M447="Concluída","",TODAY()-K447))</f>
        <v/>
      </c>
      <c r="P444" s="57">
        <f>IF(L447="","",L447-TODAY())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IF(K448="","",IF(M448="Concluída","",TODAY()-K448))</f>
        <v/>
      </c>
      <c r="P445" s="57">
        <f>IF(L448="","",L448-TODAY())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IF(K449="","",IF(M449="Concluída","",TODAY()-K449))</f>
        <v/>
      </c>
      <c r="P446" s="57">
        <f>IF(L449="","",L449-TODAY())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IF(K450="","",IF(M450="Concluída","",TODAY()-K450))</f>
        <v/>
      </c>
      <c r="P447" s="57">
        <f>IF(L450="","",L450-TODAY())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IF(K451="","",IF(M451="Concluída","",TODAY()-K451))</f>
        <v/>
      </c>
      <c r="P448" s="57">
        <f>IF(L451="","",L451-TODAY())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IF(K452="","",IF(M452="Concluída","",TODAY()-K452))</f>
        <v/>
      </c>
      <c r="P449" s="57">
        <f>IF(L452="","",L452-TODAY())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IF(K453="","",IF(M453="Concluída","",TODAY()-K453))</f>
        <v/>
      </c>
      <c r="P450" s="57">
        <f>IF(L453="","",L453-TODAY())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IF(K454="","",IF(M454="Concluída","",TODAY()-K454))</f>
        <v/>
      </c>
      <c r="P451" s="57">
        <f>IF(L454="","",L454-TODAY())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IF(K455="","",IF(M455="Concluída","",TODAY()-K455))</f>
        <v/>
      </c>
      <c r="P452" s="57">
        <f>IF(L455="","",L455-TODAY())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IF(K456="","",IF(M456="Concluída","",TODAY()-K456))</f>
        <v/>
      </c>
      <c r="P453" s="57">
        <f>IF(L456="","",L456-TODAY())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IF(K457="","",IF(M457="Concluída","",TODAY()-K457))</f>
        <v/>
      </c>
      <c r="P454" s="57">
        <f>IF(L457="","",L457-TODAY())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IF(K458="","",IF(M458="Concluída","",TODAY()-K458))</f>
        <v/>
      </c>
      <c r="P455" s="57">
        <f>IF(L458="","",L458-TODAY())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IF(K459="","",IF(M459="Concluída","",TODAY()-K459))</f>
        <v/>
      </c>
      <c r="P456" s="57">
        <f>IF(L459="","",L459-TODAY())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IF(K460="","",IF(M460="Concluída","",TODAY()-K460))</f>
        <v/>
      </c>
      <c r="P457" s="57">
        <f>IF(L460="","",L460-TODAY())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IF(K461="","",IF(M461="Concluída","",TODAY()-K461))</f>
        <v/>
      </c>
      <c r="P458" s="57">
        <f>IF(L461="","",L461-TODAY())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IF(K462="","",IF(M462="Concluída","",TODAY()-K462))</f>
        <v/>
      </c>
      <c r="P459" s="57">
        <f>IF(L462="","",L462-TODAY())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IF(K463="","",IF(M463="Concluída","",TODAY()-K463))</f>
        <v/>
      </c>
      <c r="P460" s="57">
        <f>IF(L463="","",L463-TODAY())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IF(K464="","",IF(M464="Concluída","",TODAY()-K464))</f>
        <v/>
      </c>
      <c r="P461" s="57">
        <f>IF(L464="","",L464-TODAY())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IF(K465="","",IF(M465="Concluída","",TODAY()-K465))</f>
        <v/>
      </c>
      <c r="P462" s="57">
        <f>IF(L465="","",L465-TODAY())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IF(K466="","",IF(M466="Concluída","",TODAY()-K466))</f>
        <v/>
      </c>
      <c r="P463" s="57">
        <f>IF(L466="","",L466-TODAY())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IF(K467="","",IF(M467="Concluída","",TODAY()-K467))</f>
        <v/>
      </c>
      <c r="P464" s="57">
        <f>IF(L467="","",L467-TODAY())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IF(K468="","",IF(M468="Concluída","",TODAY()-K468))</f>
        <v/>
      </c>
      <c r="P465" s="57">
        <f>IF(L468="","",L468-TODAY())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IF(K469="","",IF(M469="Concluída","",TODAY()-K469))</f>
        <v/>
      </c>
      <c r="P466" s="57">
        <f>IF(L469="","",L469-TODAY())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IF(K470="","",IF(M470="Concluída","",TODAY()-K470))</f>
        <v/>
      </c>
      <c r="P467" s="57">
        <f>IF(L470="","",L470-TODAY())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IF(K471="","",IF(M471="Concluída","",TODAY()-K471))</f>
        <v/>
      </c>
      <c r="P468" s="57">
        <f>IF(L471="","",L471-TODAY())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IF(K472="","",IF(M472="Concluída","",TODAY()-K472))</f>
        <v/>
      </c>
      <c r="P469" s="57">
        <f>IF(L472="","",L472-TODAY())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IF(K473="","",IF(M473="Concluída","",TODAY()-K473))</f>
        <v/>
      </c>
      <c r="P470" s="57">
        <f>IF(L473="","",L473-TODAY())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IF(K474="","",IF(M474="Concluída","",TODAY()-K474))</f>
        <v/>
      </c>
      <c r="P471" s="57">
        <f>IF(L474="","",L474-TODAY())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IF(K475="","",IF(M475="Concluída","",TODAY()-K475))</f>
        <v/>
      </c>
      <c r="P472" s="57">
        <f>IF(L475="","",L475-TODAY())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IF(K476="","",IF(M476="Concluída","",TODAY()-K476))</f>
        <v/>
      </c>
      <c r="P473" s="57">
        <f>IF(L476="","",L476-TODAY())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IF(K477="","",IF(M477="Concluída","",TODAY()-K477))</f>
        <v/>
      </c>
      <c r="P474" s="57">
        <f>IF(L477="","",L477-TODAY())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IF(K478="","",IF(M478="Concluída","",TODAY()-K478))</f>
        <v/>
      </c>
      <c r="P475" s="57">
        <f>IF(L478="","",L478-TODAY())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IF(K479="","",IF(M479="Concluída","",TODAY()-K479))</f>
        <v/>
      </c>
      <c r="P476" s="57">
        <f>IF(L479="","",L479-TODAY())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IF(K480="","",IF(M480="Concluída","",TODAY()-K480))</f>
        <v/>
      </c>
      <c r="P477" s="57">
        <f>IF(L480="","",L480-TODAY())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IF(K481="","",IF(M481="Concluída","",TODAY()-K481))</f>
        <v/>
      </c>
      <c r="P478" s="57">
        <f>IF(L481="","",L481-TODAY())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IF(K482="","",IF(M482="Concluída","",TODAY()-K482))</f>
        <v/>
      </c>
      <c r="P479" s="57">
        <f>IF(L482="","",L482-TODAY())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IF(K483="","",IF(M483="Concluída","",TODAY()-K483))</f>
        <v/>
      </c>
      <c r="P480" s="57">
        <f>IF(L483="","",L483-TODAY())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IF(K484="","",IF(M484="Concluída","",TODAY()-K484))</f>
        <v/>
      </c>
      <c r="P481" s="57">
        <f>IF(L484="","",L484-TODAY())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IF(K485="","",IF(M485="Concluída","",TODAY()-K485))</f>
        <v/>
      </c>
      <c r="P482" s="57">
        <f>IF(L485="","",L485-TODAY())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IF(K486="","",IF(M486="Concluída","",TODAY()-K486))</f>
        <v/>
      </c>
      <c r="P483" s="57">
        <f>IF(L486="","",L486-TODAY())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IF(K487="","",IF(M487="Concluída","",TODAY()-K487))</f>
        <v/>
      </c>
      <c r="P484" s="57">
        <f>IF(L487="","",L487-TODAY())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IF(K488="","",IF(M488="Concluída","",TODAY()-K488))</f>
        <v/>
      </c>
      <c r="P485" s="57">
        <f>IF(L488="","",L488-TODAY())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IF(K489="","",IF(M489="Concluída","",TODAY()-K489))</f>
        <v/>
      </c>
      <c r="P486" s="57">
        <f>IF(L489="","",L489-TODAY())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IF(K490="","",IF(M490="Concluída","",TODAY()-K490))</f>
        <v/>
      </c>
      <c r="P487" s="57">
        <f>IF(L490="","",L490-TODAY())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IF(K491="","",IF(M491="Concluída","",TODAY()-K491))</f>
        <v/>
      </c>
      <c r="P488" s="57">
        <f>IF(L491="","",L491-TODAY())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IF(K492="","",IF(M492="Concluída","",TODAY()-K492))</f>
        <v/>
      </c>
      <c r="P489" s="57">
        <f>IF(L492="","",L492-TODAY())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IF(K493="","",IF(M493="Concluída","",TODAY()-K493))</f>
        <v/>
      </c>
      <c r="P490" s="57">
        <f>IF(L493="","",L493-TODAY())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IF(K494="","",IF(M494="Concluída","",TODAY()-K494))</f>
        <v/>
      </c>
      <c r="P491" s="57">
        <f>IF(L494="","",L494-TODAY())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IF(K495="","",IF(M495="Concluída","",TODAY()-K495))</f>
        <v/>
      </c>
      <c r="P492" s="57">
        <f>IF(L495="","",L495-TODAY())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IF(K496="","",IF(M496="Concluída","",TODAY()-K496))</f>
        <v/>
      </c>
      <c r="P493" s="57">
        <f>IF(L496="","",L496-TODAY())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IF(K497="","",IF(M497="Concluída","",TODAY()-K497))</f>
        <v/>
      </c>
      <c r="P494" s="57">
        <f>IF(L497="","",L497-TODAY())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IF(K498="","",IF(M498="Concluída","",TODAY()-K498))</f>
        <v/>
      </c>
      <c r="P495" s="57">
        <f>IF(L498="","",L498-TODAY())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IF(K499="","",IF(M499="Concluída","",TODAY()-K499))</f>
        <v/>
      </c>
      <c r="P496" s="57">
        <f>IF(L499="","",L499-TODAY())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IF(K500="","",IF(M500="Concluída","",TODAY()-K500))</f>
        <v/>
      </c>
      <c r="P497" s="57">
        <f>IF(L500="","",L500-TODAY())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IF(K501="","",IF(M501="Concluída","",TODAY()-K501))</f>
        <v/>
      </c>
      <c r="P498" s="57">
        <f>IF(L501="","",L501-TODAY())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IF(K502="","",IF(M502="Concluída","",TODAY()-K502))</f>
        <v/>
      </c>
      <c r="P499" s="57">
        <f>IF(L502="","",L502-TODAY())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IF(K503="","",IF(M503="Concluída","",TODAY()-K503))</f>
        <v/>
      </c>
      <c r="P500" s="57">
        <f>IF(L503="","",L503-TODAY())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IF(K504="","",IF(M504="Concluída","",TODAY()-K504))</f>
        <v/>
      </c>
      <c r="P501" s="57">
        <f>IF(L504="","",L504-TODAY())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IF(K505="","",IF(M505="Concluída","",TODAY()-K505))</f>
        <v/>
      </c>
      <c r="P502" s="57">
        <f>IF(L505="","",L505-TODAY())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IF(K506="","",IF(M506="Concluída","",TODAY()-K506))</f>
        <v/>
      </c>
      <c r="P503" s="57">
        <f>IF(L506="","",L506-TODAY())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IF(K507="","",IF(M507="Concluída","",TODAY()-K507))</f>
        <v/>
      </c>
      <c r="P504" s="57">
        <f>IF(L507="","",L507-TODAY())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IF(K508="","",IF(M508="Concluída","",TODAY()-K508))</f>
        <v/>
      </c>
      <c r="P505" s="57">
        <f>IF(L508="","",L508-TODAY())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IF(K509="","",IF(M509="Concluída","",TODAY()-K509))</f>
        <v/>
      </c>
      <c r="P506" s="57">
        <f>IF(L509="","",L509-TODAY())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IF(K510="","",IF(M510="Concluída","",TODAY()-K510))</f>
        <v/>
      </c>
      <c r="P507" s="57">
        <f>IF(L510="","",L510-TODAY())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IF(K511="","",IF(M511="Concluída","",TODAY()-K511))</f>
        <v/>
      </c>
      <c r="P508" s="57">
        <f>IF(L511="","",L511-TODAY())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IF(K512="","",IF(M512="Concluída","",TODAY()-K512))</f>
        <v/>
      </c>
      <c r="P509" s="57">
        <f>IF(L512="","",L512-TODAY())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IF(K513="","",IF(M513="Concluída","",TODAY()-K513))</f>
        <v/>
      </c>
      <c r="P510" s="57">
        <f>IF(L513="","",L513-TODAY())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IF(K514="","",IF(M514="Concluída","",TODAY()-K514))</f>
        <v/>
      </c>
      <c r="P511" s="57">
        <f>IF(L514="","",L514-TODAY())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IF(K515="","",IF(M515="Concluída","",TODAY()-K515))</f>
        <v/>
      </c>
      <c r="P512" s="57">
        <f>IF(L515="","",L515-TODAY())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IF(K516="","",IF(M516="Concluída","",TODAY()-K516))</f>
        <v/>
      </c>
      <c r="P513" s="57">
        <f>IF(L516="","",L516-TODAY())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IF(K517="","",IF(M517="Concluída","",TODAY()-K517))</f>
        <v/>
      </c>
      <c r="P514" s="57">
        <f>IF(L517="","",L517-TODAY())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IF(K518="","",IF(M518="Concluída","",TODAY()-K518))</f>
        <v/>
      </c>
      <c r="P515" s="57">
        <f>IF(L518="","",L518-TODAY())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IF(K519="","",IF(M519="Concluída","",TODAY()-K519))</f>
        <v/>
      </c>
      <c r="P516" s="57">
        <f>IF(L519="","",L519-TODAY())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IF(K520="","",IF(M520="Concluída","",TODAY()-K520))</f>
        <v/>
      </c>
      <c r="P517" s="57">
        <f>IF(L520="","",L520-TODAY())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IF(K521="","",IF(M521="Concluída","",TODAY()-K521))</f>
        <v/>
      </c>
      <c r="P518" s="57">
        <f>IF(L521="","",L521-TODAY())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IF(K522="","",IF(M522="Concluída","",TODAY()-K522))</f>
        <v/>
      </c>
      <c r="P519" s="57">
        <f>IF(L522="","",L522-TODAY())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IF(K523="","",IF(M523="Concluída","",TODAY()-K523))</f>
        <v/>
      </c>
      <c r="P520" s="57">
        <f>IF(L523="","",L523-TODAY())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IF(K524="","",IF(M524="Concluída","",TODAY()-K524))</f>
        <v/>
      </c>
      <c r="P521" s="57">
        <f>IF(L524="","",L524-TODAY())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IF(K525="","",IF(M525="Concluída","",TODAY()-K525))</f>
        <v/>
      </c>
      <c r="P522" s="57">
        <f>IF(L525="","",L525-TODAY())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IF(K526="","",IF(M526="Concluída","",TODAY()-K526))</f>
        <v/>
      </c>
      <c r="P523" s="57">
        <f>IF(L526="","",L526-TODAY())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IF(K527="","",IF(M527="Concluída","",TODAY()-K527))</f>
        <v/>
      </c>
      <c r="P524" s="57">
        <f>IF(L527="","",L527-TODAY())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IF(K528="","",IF(M528="Concluída","",TODAY()-K528))</f>
        <v/>
      </c>
      <c r="P525" s="57">
        <f>IF(L528="","",L528-TODAY())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IF(K529="","",IF(M529="Concluída","",TODAY()-K529))</f>
        <v/>
      </c>
      <c r="P526" s="57">
        <f>IF(L529="","",L529-TODAY())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IF(K530="","",IF(M530="Concluída","",TODAY()-K530))</f>
        <v/>
      </c>
      <c r="P527" s="57">
        <f>IF(L530="","",L530-TODAY())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IF(K531="","",IF(M531="Concluída","",TODAY()-K531))</f>
        <v/>
      </c>
      <c r="P528" s="57">
        <f>IF(L531="","",L531-TODAY())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IF(K532="","",IF(M532="Concluída","",TODAY()-K532))</f>
        <v/>
      </c>
      <c r="P529" s="57">
        <f>IF(L532="","",L532-TODAY())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IF(K533="","",IF(M533="Concluída","",TODAY()-K533))</f>
        <v/>
      </c>
      <c r="P530" s="57">
        <f>IF(L533="","",L533-TODAY())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IF(K534="","",IF(M534="Concluída","",TODAY()-K534))</f>
        <v/>
      </c>
      <c r="P531" s="57">
        <f>IF(L534="","",L534-TODAY())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IF(K535="","",IF(M535="Concluída","",TODAY()-K535))</f>
        <v/>
      </c>
      <c r="P532" s="57">
        <f>IF(L535="","",L535-TODAY())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IF(K536="","",IF(M536="Concluída","",TODAY()-K536))</f>
        <v/>
      </c>
      <c r="P533" s="57">
        <f>IF(L536="","",L536-TODAY())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IF(K537="","",IF(M537="Concluída","",TODAY()-K537))</f>
        <v/>
      </c>
      <c r="P534" s="57">
        <f>IF(L537="","",L537-TODAY())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IF(K538="","",IF(M538="Concluída","",TODAY()-K538))</f>
        <v/>
      </c>
      <c r="P535" s="57">
        <f>IF(L538="","",L538-TODAY())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IF(K539="","",IF(M539="Concluída","",TODAY()-K539))</f>
        <v/>
      </c>
      <c r="P536" s="57">
        <f>IF(L539="","",L539-TODAY())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IF(K540="","",IF(M540="Concluída","",TODAY()-K540))</f>
        <v/>
      </c>
      <c r="P537" s="57">
        <f>IF(L540="","",L540-TODAY())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IF(K541="","",IF(M541="Concluída","",TODAY()-K541))</f>
        <v/>
      </c>
      <c r="P538" s="57">
        <f>IF(L541="","",L541-TODAY())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IF(K542="","",IF(M542="Concluída","",TODAY()-K542))</f>
        <v/>
      </c>
      <c r="P539" s="57">
        <f>IF(L542="","",L542-TODAY())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IF(K543="","",IF(M543="Concluída","",TODAY()-K543))</f>
        <v/>
      </c>
      <c r="P540" s="57">
        <f>IF(L543="","",L543-TODAY())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IF(K544="","",IF(M544="Concluída","",TODAY()-K544))</f>
        <v/>
      </c>
      <c r="P541" s="57">
        <f>IF(L544="","",L544-TODAY())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IF(K545="","",IF(M545="Concluída","",TODAY()-K545))</f>
        <v/>
      </c>
      <c r="P542" s="57">
        <f>IF(L545="","",L545-TODAY())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IF(K546="","",IF(M546="Concluída","",TODAY()-K546))</f>
        <v/>
      </c>
      <c r="P543" s="57">
        <f>IF(L546="","",L546-TODAY())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IF(K547="","",IF(M547="Concluída","",TODAY()-K547))</f>
        <v/>
      </c>
      <c r="P544" s="57">
        <f>IF(L547="","",L547-TODAY())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IF(K548="","",IF(M548="Concluída","",TODAY()-K548))</f>
        <v/>
      </c>
      <c r="P545" s="57">
        <f>IF(L548="","",L548-TODAY())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IF(K549="","",IF(M549="Concluída","",TODAY()-K549))</f>
        <v/>
      </c>
      <c r="P546" s="57">
        <f>IF(L549="","",L549-TODAY())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IF(K550="","",IF(M550="Concluída","",TODAY()-K550))</f>
        <v/>
      </c>
      <c r="P547" s="57">
        <f>IF(L550="","",L550-TODAY())</f>
        <v/>
      </c>
      <c r="Q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8" t="n"/>
      <c r="L548" s="58" t="n"/>
      <c r="M548" s="57" t="n"/>
      <c r="N548" s="57" t="n"/>
      <c r="O548" s="57">
        <f>IF(K551="","",IF(M551="Concluída","",TODAY()-K551))</f>
        <v/>
      </c>
      <c r="P548" s="57">
        <f>IF(L551="","",L551-TODAY())</f>
        <v/>
      </c>
      <c r="Q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8" t="n"/>
      <c r="L549" s="58" t="n"/>
      <c r="M549" s="57" t="n"/>
      <c r="N549" s="57" t="n"/>
      <c r="O549" s="57">
        <f>IF(K552="","",IF(M552="Concluída","",TODAY()-K552))</f>
        <v/>
      </c>
      <c r="P549" s="57">
        <f>IF(L552="","",L552-TODAY())</f>
        <v/>
      </c>
      <c r="Q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8" t="n"/>
      <c r="L550" s="58" t="n"/>
      <c r="M550" s="57" t="n"/>
      <c r="N550" s="57" t="n"/>
      <c r="O550" s="57">
        <f>IF(K553="","",IF(M553="Concluída","",TODAY()-K553))</f>
        <v/>
      </c>
      <c r="P550" s="57">
        <f>IF(L553="","",L553-TODAY())</f>
        <v/>
      </c>
      <c r="Q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8" t="n"/>
      <c r="L551" s="58" t="n"/>
      <c r="M551" s="57" t="n"/>
      <c r="N551" s="57" t="n"/>
      <c r="O551" s="57">
        <f>IF(K554="","",IF(M554="Concluída","",TODAY()-K554))</f>
        <v/>
      </c>
      <c r="P551" s="57">
        <f>IF(L554="","",L554-TODAY())</f>
        <v/>
      </c>
      <c r="Q551" s="57" t="n"/>
    </row>
    <row r="552">
      <c r="A552" s="57" t="n"/>
      <c r="B552" s="57" t="n"/>
      <c r="C552" s="57" t="n"/>
      <c r="D552" s="57" t="n"/>
      <c r="E552" s="57" t="n"/>
      <c r="F552" s="57" t="n"/>
      <c r="G552" s="57" t="n"/>
      <c r="H552" s="57" t="n"/>
      <c r="I552" s="57" t="n"/>
      <c r="J552" s="57" t="n"/>
      <c r="K552" s="58" t="n"/>
      <c r="L552" s="58" t="n"/>
      <c r="M552" s="57" t="n"/>
      <c r="N552" s="57" t="n"/>
      <c r="O552" s="57">
        <f>IF(K555="","",IF(M555="Concluída","",TODAY()-K555))</f>
        <v/>
      </c>
      <c r="P552" s="57">
        <f>IF(L555="","",L555-TODAY())</f>
        <v/>
      </c>
      <c r="Q552" s="57" t="n"/>
    </row>
    <row r="553">
      <c r="A553" s="57" t="n"/>
      <c r="B553" s="57" t="n"/>
      <c r="C553" s="57" t="n"/>
      <c r="D553" s="57" t="n"/>
      <c r="E553" s="57" t="n"/>
      <c r="F553" s="57" t="n"/>
      <c r="G553" s="57" t="n"/>
      <c r="H553" s="57" t="n"/>
      <c r="I553" s="57" t="n"/>
      <c r="J553" s="57" t="n"/>
      <c r="K553" s="58" t="n"/>
      <c r="L553" s="58" t="n"/>
      <c r="M553" s="57" t="n"/>
      <c r="N553" s="57" t="n"/>
      <c r="O553" s="57">
        <f>IF(K556="","",IF(M556="Concluída","",TODAY()-K556))</f>
        <v/>
      </c>
      <c r="P553" s="57">
        <f>IF(L556="","",L556-TODAY())</f>
        <v/>
      </c>
      <c r="Q553" s="57" t="n"/>
    </row>
    <row r="554">
      <c r="A554" s="57" t="n"/>
      <c r="B554" s="57" t="n"/>
      <c r="C554" s="57" t="n"/>
      <c r="D554" s="57" t="n"/>
      <c r="E554" s="57" t="n"/>
      <c r="F554" s="57" t="n"/>
      <c r="G554" s="57" t="n"/>
      <c r="H554" s="57" t="n"/>
      <c r="I554" s="57" t="n"/>
      <c r="J554" s="57" t="n"/>
      <c r="K554" s="58" t="n"/>
      <c r="L554" s="58" t="n"/>
      <c r="M554" s="57" t="n"/>
      <c r="N554" s="57" t="n"/>
      <c r="O554" s="57">
        <f>IF(K557="","",IF(M557="Concluída","",TODAY()-K557))</f>
        <v/>
      </c>
      <c r="P554" s="57">
        <f>IF(L557="","",L557-TODAY())</f>
        <v/>
      </c>
      <c r="Q554" s="57" t="n"/>
    </row>
  </sheetData>
  <mergeCells count="2">
    <mergeCell ref="A1:Q1"/>
    <mergeCell ref="A5:Q5"/>
  </mergeCells>
  <conditionalFormatting sqref="M7:M557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7">
    <cfRule type="expression" priority="4" dxfId="1">
      <formula>N7="Alta"</formula>
    </cfRule>
  </conditionalFormatting>
  <conditionalFormatting sqref="P7:P557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2026-09-14T17:27:12Z</dcterms:modified>
  <cp:lastModifiedBy>Gustavo da Silva Ferreira</cp:lastModifiedBy>
</cp:coreProperties>
</file>